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uel Tambunan\Documents\DATA ANALYST LEARNING\EXCEL\"/>
    </mc:Choice>
  </mc:AlternateContent>
  <xr:revisionPtr revIDLastSave="0" documentId="13_ncr:1_{1BEEF764-6EC5-4529-9DBF-3BD7BA62ABD9}" xr6:coauthVersionLast="47" xr6:coauthVersionMax="47" xr10:uidLastSave="{00000000-0000-0000-0000-000000000000}"/>
  <bookViews>
    <workbookView xWindow="-110" yWindow="-110" windowWidth="19420" windowHeight="10300" activeTab="2" xr2:uid="{3144B1D5-8DB3-424D-A4AC-7D48587F18F1}"/>
  </bookViews>
  <sheets>
    <sheet name="Dataset 1 - Master Karyawan" sheetId="1" r:id="rId1"/>
    <sheet name="Dataset 2 - Data Transaksi" sheetId="2" r:id="rId2"/>
    <sheet name="Dataset 3 - Tabel Bonus Gra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2" l="1"/>
  <c r="G10" i="2"/>
  <c r="H10" i="2"/>
  <c r="J10" i="2"/>
  <c r="K10" i="2"/>
  <c r="F10" i="2"/>
  <c r="K2" i="2"/>
  <c r="K3" i="2"/>
  <c r="K4" i="2"/>
  <c r="K5" i="2"/>
  <c r="K6" i="2"/>
  <c r="K7" i="2"/>
  <c r="K8" i="2"/>
  <c r="K9" i="2"/>
  <c r="J3" i="2"/>
  <c r="J4" i="2"/>
  <c r="J5" i="2"/>
  <c r="J6" i="2"/>
  <c r="J7" i="2"/>
  <c r="J8" i="2"/>
  <c r="J9" i="2"/>
  <c r="J2" i="2"/>
  <c r="I2" i="2"/>
  <c r="I3" i="2"/>
  <c r="I4" i="2"/>
  <c r="I5" i="2"/>
  <c r="I6" i="2"/>
  <c r="I7" i="2"/>
  <c r="I8" i="2"/>
  <c r="I9" i="2"/>
  <c r="H2" i="2"/>
  <c r="H3" i="2"/>
  <c r="H4" i="2"/>
  <c r="H5" i="2"/>
  <c r="H6" i="2"/>
  <c r="H7" i="2"/>
  <c r="H8" i="2"/>
  <c r="H9" i="2"/>
  <c r="G3" i="2"/>
  <c r="G4" i="2"/>
  <c r="G5" i="2"/>
  <c r="G6" i="2"/>
  <c r="G7" i="2"/>
  <c r="G8" i="2"/>
  <c r="G9" i="2"/>
  <c r="G2" i="2"/>
  <c r="F2" i="2"/>
  <c r="F3" i="2"/>
  <c r="F4" i="2"/>
  <c r="F5" i="2"/>
  <c r="F6" i="2"/>
  <c r="F7" i="2"/>
  <c r="F8" i="2"/>
  <c r="F9" i="2"/>
</calcChain>
</file>

<file path=xl/sharedStrings.xml><?xml version="1.0" encoding="utf-8"?>
<sst xmlns="http://schemas.openxmlformats.org/spreadsheetml/2006/main" count="91" uniqueCount="59">
  <si>
    <t>ID Karyawan</t>
  </si>
  <si>
    <t>Nama</t>
  </si>
  <si>
    <t>Divisi</t>
  </si>
  <si>
    <t>Jabatan</t>
  </si>
  <si>
    <t>Grade</t>
  </si>
  <si>
    <t>Gaji Pokok</t>
  </si>
  <si>
    <t>EMP001</t>
  </si>
  <si>
    <t>Andi</t>
  </si>
  <si>
    <t>Finance</t>
  </si>
  <si>
    <t>Analyst</t>
  </si>
  <si>
    <t>G3</t>
  </si>
  <si>
    <t>EMP002</t>
  </si>
  <si>
    <t>Budi</t>
  </si>
  <si>
    <t>IT</t>
  </si>
  <si>
    <t>Data Analyst</t>
  </si>
  <si>
    <t>G4</t>
  </si>
  <si>
    <t>EMP003</t>
  </si>
  <si>
    <t>Citra</t>
  </si>
  <si>
    <t>HR</t>
  </si>
  <si>
    <t>HR Staff</t>
  </si>
  <si>
    <t>G2</t>
  </si>
  <si>
    <t>EMP004</t>
  </si>
  <si>
    <t>Dimas</t>
  </si>
  <si>
    <t>Backend Developer</t>
  </si>
  <si>
    <t>EMP005</t>
  </si>
  <si>
    <t>Eka</t>
  </si>
  <si>
    <t>Marketing</t>
  </si>
  <si>
    <t>Marketing Analyst</t>
  </si>
  <si>
    <t>EMP006</t>
  </si>
  <si>
    <t>Fajar</t>
  </si>
  <si>
    <t>Senior Analyst</t>
  </si>
  <si>
    <t>G5</t>
  </si>
  <si>
    <t>EMP007</t>
  </si>
  <si>
    <t>Gina</t>
  </si>
  <si>
    <t>HR Analyst</t>
  </si>
  <si>
    <t>EMP008</t>
  </si>
  <si>
    <t>Hadi</t>
  </si>
  <si>
    <t>Data Engineer</t>
  </si>
  <si>
    <t>No Transaksi</t>
  </si>
  <si>
    <t>Bulan</t>
  </si>
  <si>
    <t>Penjualan</t>
  </si>
  <si>
    <t>Bonus</t>
  </si>
  <si>
    <t>TRX001</t>
  </si>
  <si>
    <t>Jan</t>
  </si>
  <si>
    <t>TRX002</t>
  </si>
  <si>
    <t>Feb</t>
  </si>
  <si>
    <t>TRX003</t>
  </si>
  <si>
    <t>TRX004</t>
  </si>
  <si>
    <t>Mar</t>
  </si>
  <si>
    <t>TRX005</t>
  </si>
  <si>
    <t>TRX006</t>
  </si>
  <si>
    <t>TRX007</t>
  </si>
  <si>
    <t>TRX008</t>
  </si>
  <si>
    <t>G1</t>
  </si>
  <si>
    <t>Bonus Rate</t>
  </si>
  <si>
    <t>Nama Karyawan</t>
  </si>
  <si>
    <t>Bonus Grade</t>
  </si>
  <si>
    <t>TRX009</t>
  </si>
  <si>
    <t>EMP999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</si>
</sst>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9" fontId="0" fillId="0" borderId="1" xfId="0" applyNumberFormat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44" fontId="0" fillId="0" borderId="1" xfId="0" applyNumberFormat="1" applyBorder="1"/>
    <xf numFmtId="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1B39F-B8EB-486B-897A-C78465EDD244}">
  <dimension ref="A1:F9"/>
  <sheetViews>
    <sheetView workbookViewId="0">
      <selection activeCell="D15" sqref="D15"/>
    </sheetView>
  </sheetViews>
  <sheetFormatPr defaultRowHeight="14.5" x14ac:dyDescent="0.35"/>
  <cols>
    <col min="1" max="1" width="13" customWidth="1"/>
    <col min="4" max="4" width="18.453125" customWidth="1"/>
    <col min="6" max="6" width="12.54296875" customWidth="1"/>
  </cols>
  <sheetData>
    <row r="1" spans="1:6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8500000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3">
        <v>10500000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3">
        <v>7000000</v>
      </c>
    </row>
    <row r="5" spans="1:6" x14ac:dyDescent="0.35">
      <c r="A5" s="2" t="s">
        <v>21</v>
      </c>
      <c r="B5" s="2" t="s">
        <v>22</v>
      </c>
      <c r="C5" s="2" t="s">
        <v>13</v>
      </c>
      <c r="D5" s="2" t="s">
        <v>23</v>
      </c>
      <c r="E5" s="2" t="s">
        <v>15</v>
      </c>
      <c r="F5" s="3">
        <v>11000000</v>
      </c>
    </row>
    <row r="6" spans="1:6" ht="29" x14ac:dyDescent="0.35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3">
        <v>9000000</v>
      </c>
    </row>
    <row r="7" spans="1:6" ht="29" x14ac:dyDescent="0.35">
      <c r="A7" s="2" t="s">
        <v>28</v>
      </c>
      <c r="B7" s="2" t="s">
        <v>29</v>
      </c>
      <c r="C7" s="2" t="s">
        <v>8</v>
      </c>
      <c r="D7" s="2" t="s">
        <v>30</v>
      </c>
      <c r="E7" s="2" t="s">
        <v>31</v>
      </c>
      <c r="F7" s="3">
        <v>13000000</v>
      </c>
    </row>
    <row r="8" spans="1:6" ht="29" x14ac:dyDescent="0.35">
      <c r="A8" s="2" t="s">
        <v>32</v>
      </c>
      <c r="B8" s="2" t="s">
        <v>33</v>
      </c>
      <c r="C8" s="2" t="s">
        <v>18</v>
      </c>
      <c r="D8" s="2" t="s">
        <v>34</v>
      </c>
      <c r="E8" s="2" t="s">
        <v>10</v>
      </c>
      <c r="F8" s="3">
        <v>8500000</v>
      </c>
    </row>
    <row r="9" spans="1:6" x14ac:dyDescent="0.35">
      <c r="A9" s="2" t="s">
        <v>35</v>
      </c>
      <c r="B9" s="2" t="s">
        <v>36</v>
      </c>
      <c r="C9" s="2" t="s">
        <v>13</v>
      </c>
      <c r="D9" s="2" t="s">
        <v>37</v>
      </c>
      <c r="E9" s="2" t="s">
        <v>31</v>
      </c>
      <c r="F9" s="3">
        <v>12500000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319F-4BB4-477C-BEBD-8C577447C717}">
  <dimension ref="A1:K10"/>
  <sheetViews>
    <sheetView workbookViewId="0">
      <selection activeCell="K1" sqref="K1"/>
    </sheetView>
  </sheetViews>
  <sheetFormatPr defaultRowHeight="14.5" x14ac:dyDescent="0.35"/>
  <cols>
    <col min="1" max="1" width="13.453125" customWidth="1"/>
    <col min="2" max="2" width="13.6328125" customWidth="1"/>
    <col min="4" max="4" width="10.54296875" customWidth="1"/>
    <col min="5" max="5" width="13.6328125" bestFit="1" customWidth="1"/>
    <col min="6" max="6" width="15.6328125" customWidth="1"/>
    <col min="7" max="7" width="13.6328125" bestFit="1" customWidth="1"/>
    <col min="8" max="8" width="17" bestFit="1" customWidth="1"/>
    <col min="9" max="9" width="15.90625" bestFit="1" customWidth="1"/>
    <col min="10" max="10" width="13.6328125" bestFit="1" customWidth="1"/>
    <col min="11" max="11" width="14.90625" bestFit="1" customWidth="1"/>
  </cols>
  <sheetData>
    <row r="1" spans="1:11" ht="35" customHeight="1" x14ac:dyDescent="0.35">
      <c r="A1" s="1" t="s">
        <v>38</v>
      </c>
      <c r="B1" s="1" t="s">
        <v>0</v>
      </c>
      <c r="C1" s="1" t="s">
        <v>39</v>
      </c>
      <c r="D1" s="1" t="s">
        <v>40</v>
      </c>
      <c r="E1" s="1" t="s">
        <v>41</v>
      </c>
      <c r="F1" s="5" t="s">
        <v>55</v>
      </c>
      <c r="G1" s="5" t="s">
        <v>2</v>
      </c>
      <c r="H1" s="5" t="s">
        <v>3</v>
      </c>
      <c r="I1" s="5" t="s">
        <v>5</v>
      </c>
      <c r="J1" s="5" t="s">
        <v>56</v>
      </c>
      <c r="K1" s="5" t="s">
        <v>41</v>
      </c>
    </row>
    <row r="2" spans="1:11" x14ac:dyDescent="0.35">
      <c r="A2" s="2" t="s">
        <v>42</v>
      </c>
      <c r="B2" s="2" t="s">
        <v>11</v>
      </c>
      <c r="C2" s="2" t="s">
        <v>43</v>
      </c>
      <c r="D2" s="3">
        <v>45000000</v>
      </c>
      <c r="E2" s="3">
        <v>0</v>
      </c>
      <c r="F2" s="6" t="str">
        <f>VLOOKUP(B2, 'Dataset 1 - Master Karyawan'!$A$2:$B$9, 2, FALSE)</f>
        <v>Budi</v>
      </c>
      <c r="G2" s="6" t="str">
        <f>VLOOKUP(B2,'Dataset 1 - Master Karyawan'!$A$2:$C$9,3,FALSE)</f>
        <v>IT</v>
      </c>
      <c r="H2" s="6" t="str">
        <f>VLOOKUP(B2, 'Dataset 1 - Master Karyawan'!$A$2:$D$9, 4, FALSE)</f>
        <v>Data Analyst</v>
      </c>
      <c r="I2" s="7">
        <f>VLOOKUP(B2,'Dataset 1 - Master Karyawan'!$A$2:$F$9, 6, FALSE)</f>
        <v>10500000</v>
      </c>
      <c r="J2" s="8">
        <f>HLOOKUP(VLOOKUP(B2, 'Dataset 1 - Master Karyawan'!$A$2:$E$9, 5, FALSE), 'Dataset 3 - Tabel Bonus Grade'!$B$1:$F$2, 2, FALSE)</f>
        <v>7.0000000000000007E-2</v>
      </c>
      <c r="K2" s="7">
        <f>VLOOKUP(B2, 'Dataset 1 - Master Karyawan'!$A$2:$F$9, 6, FALSE) * HLOOKUP(VLOOKUP(B2, 'Dataset 1 - Master Karyawan'!$A$2:$F$9, 5, FALSE), 'Dataset 3 - Tabel Bonus Grade'!$A$1:$F$2, 2, FALSE)</f>
        <v>735000.00000000012</v>
      </c>
    </row>
    <row r="3" spans="1:11" x14ac:dyDescent="0.35">
      <c r="A3" s="2" t="s">
        <v>44</v>
      </c>
      <c r="B3" s="2" t="s">
        <v>21</v>
      </c>
      <c r="C3" s="2" t="s">
        <v>45</v>
      </c>
      <c r="D3" s="3">
        <v>38000000</v>
      </c>
      <c r="E3" s="3">
        <v>0</v>
      </c>
      <c r="F3" s="6" t="str">
        <f>VLOOKUP(B3, 'Dataset 1 - Master Karyawan'!$A$2:$B$9, 2, FALSE)</f>
        <v>Dimas</v>
      </c>
      <c r="G3" s="6" t="str">
        <f>VLOOKUP(B3,'Dataset 1 - Master Karyawan'!$A$2:$C$9,3,FALSE)</f>
        <v>IT</v>
      </c>
      <c r="H3" s="6" t="str">
        <f>VLOOKUP(B3, 'Dataset 1 - Master Karyawan'!$A$2:$D$9, 4, FALSE)</f>
        <v>Backend Developer</v>
      </c>
      <c r="I3" s="7">
        <f>VLOOKUP(B3,'Dataset 1 - Master Karyawan'!$A$2:$F$9, 6, FALSE)</f>
        <v>11000000</v>
      </c>
      <c r="J3" s="8">
        <f>HLOOKUP(VLOOKUP(B3, 'Dataset 1 - Master Karyawan'!$A$2:$E$9, 5, FALSE), 'Dataset 3 - Tabel Bonus Grade'!$B$1:$F$2, 2, FALSE)</f>
        <v>7.0000000000000007E-2</v>
      </c>
      <c r="K3" s="7">
        <f>VLOOKUP(B3, 'Dataset 1 - Master Karyawan'!$A$2:$F$9, 6, FALSE) * HLOOKUP(VLOOKUP(B3, 'Dataset 1 - Master Karyawan'!$A$2:$F$9, 5, FALSE), 'Dataset 3 - Tabel Bonus Grade'!$A$1:$F$2, 2, FALSE)</f>
        <v>770000.00000000012</v>
      </c>
    </row>
    <row r="4" spans="1:11" x14ac:dyDescent="0.35">
      <c r="A4" s="2" t="s">
        <v>46</v>
      </c>
      <c r="B4" s="2" t="s">
        <v>6</v>
      </c>
      <c r="C4" s="2" t="s">
        <v>43</v>
      </c>
      <c r="D4" s="3">
        <v>25000000</v>
      </c>
      <c r="E4" s="3">
        <v>0</v>
      </c>
      <c r="F4" s="6" t="str">
        <f>VLOOKUP(B4, 'Dataset 1 - Master Karyawan'!$A$2:$B$9, 2, FALSE)</f>
        <v>Andi</v>
      </c>
      <c r="G4" s="6" t="str">
        <f>VLOOKUP(B4,'Dataset 1 - Master Karyawan'!$A$2:$C$9,3,FALSE)</f>
        <v>Finance</v>
      </c>
      <c r="H4" s="6" t="str">
        <f>VLOOKUP(B4, 'Dataset 1 - Master Karyawan'!$A$2:$D$9, 4, FALSE)</f>
        <v>Analyst</v>
      </c>
      <c r="I4" s="7">
        <f>VLOOKUP(B4,'Dataset 1 - Master Karyawan'!$A$2:$F$9, 6, FALSE)</f>
        <v>8500000</v>
      </c>
      <c r="J4" s="8">
        <f>HLOOKUP(VLOOKUP(B4, 'Dataset 1 - Master Karyawan'!$A$2:$E$9, 5, FALSE), 'Dataset 3 - Tabel Bonus Grade'!$B$1:$F$2, 2, FALSE)</f>
        <v>0.05</v>
      </c>
      <c r="K4" s="7">
        <f>VLOOKUP(B4, 'Dataset 1 - Master Karyawan'!$A$2:$F$9, 6, FALSE) * HLOOKUP(VLOOKUP(B4, 'Dataset 1 - Master Karyawan'!$A$2:$F$9, 5, FALSE), 'Dataset 3 - Tabel Bonus Grade'!$A$1:$F$2, 2, FALSE)</f>
        <v>425000</v>
      </c>
    </row>
    <row r="5" spans="1:11" x14ac:dyDescent="0.35">
      <c r="A5" s="2" t="s">
        <v>47</v>
      </c>
      <c r="B5" s="2" t="s">
        <v>28</v>
      </c>
      <c r="C5" s="2" t="s">
        <v>48</v>
      </c>
      <c r="D5" s="3">
        <v>62000000</v>
      </c>
      <c r="E5" s="3">
        <v>0</v>
      </c>
      <c r="F5" s="6" t="str">
        <f>VLOOKUP(B5, 'Dataset 1 - Master Karyawan'!$A$2:$B$9, 2, FALSE)</f>
        <v>Fajar</v>
      </c>
      <c r="G5" s="6" t="str">
        <f>VLOOKUP(B5,'Dataset 1 - Master Karyawan'!$A$2:$C$9,3,FALSE)</f>
        <v>Finance</v>
      </c>
      <c r="H5" s="6" t="str">
        <f>VLOOKUP(B5, 'Dataset 1 - Master Karyawan'!$A$2:$D$9, 4, FALSE)</f>
        <v>Senior Analyst</v>
      </c>
      <c r="I5" s="7">
        <f>VLOOKUP(B5,'Dataset 1 - Master Karyawan'!$A$2:$F$9, 6, FALSE)</f>
        <v>13000000</v>
      </c>
      <c r="J5" s="8">
        <f>HLOOKUP(VLOOKUP(B5, 'Dataset 1 - Master Karyawan'!$A$2:$E$9, 5, FALSE), 'Dataset 3 - Tabel Bonus Grade'!$B$1:$F$2, 2, FALSE)</f>
        <v>0.1</v>
      </c>
      <c r="K5" s="7">
        <f>VLOOKUP(B5, 'Dataset 1 - Master Karyawan'!$A$2:$F$9, 6, FALSE) * HLOOKUP(VLOOKUP(B5, 'Dataset 1 - Master Karyawan'!$A$2:$F$9, 5, FALSE), 'Dataset 3 - Tabel Bonus Grade'!$A$1:$F$2, 2, FALSE)</f>
        <v>1300000</v>
      </c>
    </row>
    <row r="6" spans="1:11" x14ac:dyDescent="0.35">
      <c r="A6" s="2" t="s">
        <v>49</v>
      </c>
      <c r="B6" s="2" t="s">
        <v>24</v>
      </c>
      <c r="C6" s="2" t="s">
        <v>45</v>
      </c>
      <c r="D6" s="3">
        <v>31000000</v>
      </c>
      <c r="E6" s="3">
        <v>0</v>
      </c>
      <c r="F6" s="6" t="str">
        <f>VLOOKUP(B6, 'Dataset 1 - Master Karyawan'!$A$2:$B$9, 2, FALSE)</f>
        <v>Eka</v>
      </c>
      <c r="G6" s="6" t="str">
        <f>VLOOKUP(B6,'Dataset 1 - Master Karyawan'!$A$2:$C$9,3,FALSE)</f>
        <v>Marketing</v>
      </c>
      <c r="H6" s="6" t="str">
        <f>VLOOKUP(B6, 'Dataset 1 - Master Karyawan'!$A$2:$D$9, 4, FALSE)</f>
        <v>Marketing Analyst</v>
      </c>
      <c r="I6" s="7">
        <f>VLOOKUP(B6,'Dataset 1 - Master Karyawan'!$A$2:$F$9, 6, FALSE)</f>
        <v>9000000</v>
      </c>
      <c r="J6" s="8">
        <f>HLOOKUP(VLOOKUP(B6, 'Dataset 1 - Master Karyawan'!$A$2:$E$9, 5, FALSE), 'Dataset 3 - Tabel Bonus Grade'!$B$1:$F$2, 2, FALSE)</f>
        <v>0.05</v>
      </c>
      <c r="K6" s="7">
        <f>VLOOKUP(B6, 'Dataset 1 - Master Karyawan'!$A$2:$F$9, 6, FALSE) * HLOOKUP(VLOOKUP(B6, 'Dataset 1 - Master Karyawan'!$A$2:$F$9, 5, FALSE), 'Dataset 3 - Tabel Bonus Grade'!$A$1:$F$2, 2, FALSE)</f>
        <v>450000</v>
      </c>
    </row>
    <row r="7" spans="1:11" x14ac:dyDescent="0.35">
      <c r="A7" s="2" t="s">
        <v>50</v>
      </c>
      <c r="B7" s="2" t="s">
        <v>35</v>
      </c>
      <c r="C7" s="2" t="s">
        <v>48</v>
      </c>
      <c r="D7" s="3">
        <v>57000000</v>
      </c>
      <c r="E7" s="3">
        <v>0</v>
      </c>
      <c r="F7" s="6" t="str">
        <f>VLOOKUP(B7, 'Dataset 1 - Master Karyawan'!$A$2:$B$9, 2, FALSE)</f>
        <v>Hadi</v>
      </c>
      <c r="G7" s="6" t="str">
        <f>VLOOKUP(B7,'Dataset 1 - Master Karyawan'!$A$2:$C$9,3,FALSE)</f>
        <v>IT</v>
      </c>
      <c r="H7" s="6" t="str">
        <f>VLOOKUP(B7, 'Dataset 1 - Master Karyawan'!$A$2:$D$9, 4, FALSE)</f>
        <v>Data Engineer</v>
      </c>
      <c r="I7" s="7">
        <f>VLOOKUP(B7,'Dataset 1 - Master Karyawan'!$A$2:$F$9, 6, FALSE)</f>
        <v>12500000</v>
      </c>
      <c r="J7" s="8">
        <f>HLOOKUP(VLOOKUP(B7, 'Dataset 1 - Master Karyawan'!$A$2:$E$9, 5, FALSE), 'Dataset 3 - Tabel Bonus Grade'!$B$1:$F$2, 2, FALSE)</f>
        <v>0.1</v>
      </c>
      <c r="K7" s="7">
        <f>VLOOKUP(B7, 'Dataset 1 - Master Karyawan'!$A$2:$F$9, 6, FALSE) * HLOOKUP(VLOOKUP(B7, 'Dataset 1 - Master Karyawan'!$A$2:$F$9, 5, FALSE), 'Dataset 3 - Tabel Bonus Grade'!$A$1:$F$2, 2, FALSE)</f>
        <v>1250000</v>
      </c>
    </row>
    <row r="8" spans="1:11" x14ac:dyDescent="0.35">
      <c r="A8" s="2" t="s">
        <v>51</v>
      </c>
      <c r="B8" s="2" t="s">
        <v>16</v>
      </c>
      <c r="C8" s="2" t="s">
        <v>43</v>
      </c>
      <c r="D8" s="3">
        <v>18000000</v>
      </c>
      <c r="E8" s="3">
        <v>0</v>
      </c>
      <c r="F8" s="6" t="str">
        <f>VLOOKUP(B8, 'Dataset 1 - Master Karyawan'!$A$2:$B$9, 2, FALSE)</f>
        <v>Citra</v>
      </c>
      <c r="G8" s="6" t="str">
        <f>VLOOKUP(B8,'Dataset 1 - Master Karyawan'!$A$2:$C$9,3,FALSE)</f>
        <v>HR</v>
      </c>
      <c r="H8" s="6" t="str">
        <f>VLOOKUP(B8, 'Dataset 1 - Master Karyawan'!$A$2:$D$9, 4, FALSE)</f>
        <v>HR Staff</v>
      </c>
      <c r="I8" s="7">
        <f>VLOOKUP(B8,'Dataset 1 - Master Karyawan'!$A$2:$F$9, 6, FALSE)</f>
        <v>7000000</v>
      </c>
      <c r="J8" s="8">
        <f>HLOOKUP(VLOOKUP(B8, 'Dataset 1 - Master Karyawan'!$A$2:$E$9, 5, FALSE), 'Dataset 3 - Tabel Bonus Grade'!$B$1:$F$2, 2, FALSE)</f>
        <v>0.03</v>
      </c>
      <c r="K8" s="7">
        <f>VLOOKUP(B8, 'Dataset 1 - Master Karyawan'!$A$2:$F$9, 6, FALSE) * HLOOKUP(VLOOKUP(B8, 'Dataset 1 - Master Karyawan'!$A$2:$F$9, 5, FALSE), 'Dataset 3 - Tabel Bonus Grade'!$A$1:$F$2, 2, FALSE)</f>
        <v>210000</v>
      </c>
    </row>
    <row r="9" spans="1:11" x14ac:dyDescent="0.35">
      <c r="A9" s="2" t="s">
        <v>52</v>
      </c>
      <c r="B9" s="2" t="s">
        <v>32</v>
      </c>
      <c r="C9" s="2" t="s">
        <v>48</v>
      </c>
      <c r="D9" s="3">
        <v>22000000</v>
      </c>
      <c r="E9" s="3">
        <v>0</v>
      </c>
      <c r="F9" s="6" t="str">
        <f>VLOOKUP(B9, 'Dataset 1 - Master Karyawan'!$A$2:$B$9, 2, FALSE)</f>
        <v>Gina</v>
      </c>
      <c r="G9" s="6" t="str">
        <f>VLOOKUP(B9,'Dataset 1 - Master Karyawan'!$A$2:$C$9,3,FALSE)</f>
        <v>HR</v>
      </c>
      <c r="H9" s="6" t="str">
        <f>VLOOKUP(B9, 'Dataset 1 - Master Karyawan'!$A$2:$D$9, 4, FALSE)</f>
        <v>HR Analyst</v>
      </c>
      <c r="I9" s="7">
        <f>VLOOKUP(B9,'Dataset 1 - Master Karyawan'!$A$2:$F$9, 6, FALSE)</f>
        <v>8500000</v>
      </c>
      <c r="J9" s="8">
        <f>HLOOKUP(VLOOKUP(B9, 'Dataset 1 - Master Karyawan'!$A$2:$E$9, 5, FALSE), 'Dataset 3 - Tabel Bonus Grade'!$B$1:$F$2, 2, FALSE)</f>
        <v>0.05</v>
      </c>
      <c r="K9" s="7">
        <f>VLOOKUP(B9, 'Dataset 1 - Master Karyawan'!$A$2:$F$9, 6, FALSE) * HLOOKUP(VLOOKUP(B9, 'Dataset 1 - Master Karyawan'!$A$2:$F$9, 5, FALSE), 'Dataset 3 - Tabel Bonus Grade'!$A$1:$F$2, 2, FALSE)</f>
        <v>425000</v>
      </c>
    </row>
    <row r="10" spans="1:11" x14ac:dyDescent="0.35">
      <c r="A10" s="9" t="s">
        <v>57</v>
      </c>
      <c r="B10" s="9" t="s">
        <v>58</v>
      </c>
      <c r="C10" s="9" t="s">
        <v>48</v>
      </c>
      <c r="D10" s="9">
        <v>40000000</v>
      </c>
      <c r="E10" s="9">
        <v>0</v>
      </c>
      <c r="F10" s="9" t="str">
        <f>IFERROR(VLOOKUP(B10, 'Dataset 1 - Master Karyawan'!$A$2:$F$9, 2, FALSE), "Tidak Terdaftar")</f>
        <v>Tidak Terdaftar</v>
      </c>
      <c r="G10" s="9" t="str">
        <f>IFERROR(VLOOKUP(C10, 'Dataset 1 - Master Karyawan'!$A$2:$F$9, 2, FALSE), "Tidak Terdaftar")</f>
        <v>Tidak Terdaftar</v>
      </c>
      <c r="H10" s="9" t="str">
        <f>IFERROR(VLOOKUP(D10, 'Dataset 1 - Master Karyawan'!$A$2:$F$9, 2, FALSE), "Tidak Terdaftar")</f>
        <v>Tidak Terdaftar</v>
      </c>
      <c r="I10" s="9" t="str">
        <f>IFERROR(VLOOKUP(E10, 'Dataset 1 - Master Karyawan'!$A$2:$F$9, 2, FALSE), "Tidak Terdaftar")</f>
        <v>Tidak Terdaftar</v>
      </c>
      <c r="J10" s="9" t="str">
        <f>IFERROR(VLOOKUP(F10, 'Dataset 1 - Master Karyawan'!$A$2:$F$9, 2, FALSE), "Tidak Terdaftar")</f>
        <v>Tidak Terdaftar</v>
      </c>
      <c r="K10" s="9" t="str">
        <f>IFERROR(VLOOKUP(G10, 'Dataset 1 - Master Karyawan'!$A$2:$F$9, 2, FALSE), "Tidak Terdaftar")</f>
        <v>Tidak Terdaftar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870E-8AA7-493F-937A-F71F36E6F6AE}">
  <dimension ref="A1:F2"/>
  <sheetViews>
    <sheetView tabSelected="1" workbookViewId="0">
      <selection activeCell="B2" sqref="B2"/>
    </sheetView>
  </sheetViews>
  <sheetFormatPr defaultRowHeight="14.5" x14ac:dyDescent="0.35"/>
  <cols>
    <col min="1" max="1" width="11.54296875" customWidth="1"/>
  </cols>
  <sheetData>
    <row r="1" spans="1:6" x14ac:dyDescent="0.35">
      <c r="A1" s="1" t="s">
        <v>4</v>
      </c>
      <c r="B1" s="1" t="s">
        <v>53</v>
      </c>
      <c r="C1" s="1" t="s">
        <v>20</v>
      </c>
      <c r="D1" s="1" t="s">
        <v>10</v>
      </c>
      <c r="E1" s="1" t="s">
        <v>15</v>
      </c>
      <c r="F1" s="1" t="s">
        <v>31</v>
      </c>
    </row>
    <row r="2" spans="1:6" ht="29" x14ac:dyDescent="0.35">
      <c r="A2" s="2" t="s">
        <v>54</v>
      </c>
      <c r="B2" s="4">
        <v>0.02</v>
      </c>
      <c r="C2" s="4">
        <v>0.03</v>
      </c>
      <c r="D2" s="4">
        <v>0.05</v>
      </c>
      <c r="E2" s="4">
        <v>7.0000000000000007E-2</v>
      </c>
      <c r="F2" s="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 1 - Master Karyawan</vt:lpstr>
      <vt:lpstr>Dataset 2 - Data Transaksi</vt:lpstr>
      <vt:lpstr>Dataset 3 - Tabel Bonus Grade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Tambunan</dc:creator>
  <cp:lastModifiedBy>Samuel Tambunan</cp:lastModifiedBy>
  <dcterms:created xsi:type="dcterms:W3CDTF">2026-08-26T05:08:06Z</dcterms:created>
  <dcterms:modified xsi:type="dcterms:W3CDTF">2026-08-26T12:26:27Z</dcterms:modified>
</cp:coreProperties>
</file>