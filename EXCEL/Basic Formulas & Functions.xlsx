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 Tambunan\Documents\DATA ANALYST LEARNING\EXCEL\"/>
    </mc:Choice>
  </mc:AlternateContent>
  <xr:revisionPtr revIDLastSave="0" documentId="13_ncr:1_{B05CB408-6513-43B8-840B-B70244D85E68}" xr6:coauthVersionLast="47" xr6:coauthVersionMax="47" xr10:uidLastSave="{00000000-0000-0000-0000-000000000000}"/>
  <bookViews>
    <workbookView xWindow="-110" yWindow="-110" windowWidth="19420" windowHeight="10300" activeTab="1" xr2:uid="{4BCC91FC-A7DC-4952-B43D-55B4D8EAA6A1}"/>
  </bookViews>
  <sheets>
    <sheet name="Mathematical &amp; statistical func" sheetId="1" r:id="rId1"/>
    <sheet name="Logical 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2" l="1"/>
  <c r="E16" i="2"/>
  <c r="I37" i="1"/>
  <c r="I35" i="1"/>
  <c r="I29" i="1"/>
  <c r="E14" i="1"/>
  <c r="I27" i="1"/>
  <c r="N18" i="1"/>
  <c r="M17" i="1"/>
  <c r="K2" i="1" a="1"/>
  <c r="K2" i="1" s="1"/>
  <c r="L2" i="1" s="1" a="1"/>
  <c r="L2" i="1" s="1"/>
  <c r="M2" i="1" s="1"/>
  <c r="E20" i="1"/>
  <c r="E17" i="1"/>
  <c r="E22" i="1"/>
  <c r="E21" i="1"/>
  <c r="E19" i="1"/>
  <c r="E18" i="1"/>
  <c r="E16" i="1"/>
  <c r="E15" i="1"/>
  <c r="E13" i="1"/>
  <c r="M6" i="1" l="1"/>
  <c r="M5" i="1"/>
  <c r="I21" i="1" s="1"/>
  <c r="M11" i="1"/>
  <c r="M3" i="1"/>
  <c r="M14" i="1" s="1"/>
  <c r="M9" i="1"/>
  <c r="M4" i="1"/>
  <c r="M10" i="1"/>
  <c r="M8" i="1"/>
  <c r="M7" i="1"/>
  <c r="M15" i="1"/>
  <c r="I33" i="1" l="1"/>
  <c r="I25" i="1"/>
  <c r="M13" i="1"/>
  <c r="I31" i="1"/>
  <c r="M16" i="1"/>
  <c r="I2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<sst xmlns="http://schemas.openxmlformats.org/spreadsheetml/2006/main" count="135" uniqueCount="83">
  <si>
    <t>ID</t>
  </si>
  <si>
    <t>Tanggal</t>
  </si>
  <si>
    <t>Produk</t>
  </si>
  <si>
    <t>Kategori</t>
  </si>
  <si>
    <t>Kota</t>
  </si>
  <si>
    <t>Sales</t>
  </si>
  <si>
    <t>Harga</t>
  </si>
  <si>
    <t>Diskon</t>
  </si>
  <si>
    <t>Jumlah</t>
  </si>
  <si>
    <t>Rating</t>
  </si>
  <si>
    <t>Laptop A</t>
  </si>
  <si>
    <t>Elektronik</t>
  </si>
  <si>
    <t>Bandung</t>
  </si>
  <si>
    <t>Andi</t>
  </si>
  <si>
    <t>Mouse B</t>
  </si>
  <si>
    <t>Aksesoris</t>
  </si>
  <si>
    <t>Jakarta</t>
  </si>
  <si>
    <t>Budi</t>
  </si>
  <si>
    <t>Keyboard C</t>
  </si>
  <si>
    <t>Citra</t>
  </si>
  <si>
    <t>Monitor D</t>
  </si>
  <si>
    <t>Bekasi</t>
  </si>
  <si>
    <t>Headset E</t>
  </si>
  <si>
    <t>Bogor</t>
  </si>
  <si>
    <t>1. Total barang terjual</t>
  </si>
  <si>
    <t>2. Rata-rata jumlah barang per transaksi</t>
  </si>
  <si>
    <t>3. Jumlah transaksi</t>
  </si>
  <si>
    <t>4. Jumlah transaksi di Bandung</t>
  </si>
  <si>
    <t>5. Jumlah transaksi dengan Rating minimal 4,5</t>
  </si>
  <si>
    <t>6. Total barang yang terjual di Bandung</t>
  </si>
  <si>
    <t>7. Total barang yang dijual oleh Andi</t>
  </si>
  <si>
    <t>8. Total harga seluruh transaksi</t>
  </si>
  <si>
    <t xml:space="preserve">9. Rata-rata harga produk </t>
  </si>
  <si>
    <t>10. Total barang kategori Elektronik</t>
  </si>
  <si>
    <t>Total Sebelum Diskon</t>
  </si>
  <si>
    <t>Nilai Diskon</t>
  </si>
  <si>
    <t>Total Penjualan</t>
  </si>
  <si>
    <t>4. Hitung total seluruh penjualan setelah diskon</t>
  </si>
  <si>
    <t>5. Hitung rata-rata nilai penjualan per transaksi</t>
  </si>
  <si>
    <t>6. Cari total penjualan yang berasal dari kategori Elektronik</t>
  </si>
  <si>
    <t>7. Cari total penjualan yang berasal dari kota Bandung</t>
  </si>
  <si>
    <t>8. Hitung jumlah transaksi yang memiliki Diskon &gt;= 10%</t>
  </si>
  <si>
    <t>9. Hitung jumlah transaksi yang memiliki Rating &gt;= 4,5 dan Jumlah &gt;= 4</t>
  </si>
  <si>
    <t>SUM</t>
  </si>
  <si>
    <t>AVERAGE</t>
  </si>
  <si>
    <t>COUNT</t>
  </si>
  <si>
    <t>COUNTIF</t>
  </si>
  <si>
    <t>SUMIF</t>
  </si>
  <si>
    <t>1. Hitung total Total Penjualan setelah diskon yang dihasilkan oleh Andi</t>
  </si>
  <si>
    <t>2. Hitung total Total Penjualan setelah diskon yang dihasilkan oleh Budi</t>
  </si>
  <si>
    <t>3. Hitung total Total Penjualan setelah diskon yang dihasilkan oleh Citra</t>
  </si>
  <si>
    <t>4. Hitung rata-rata Rating untuk seluruh transaksi</t>
  </si>
  <si>
    <t>5. Hitung jumlah transaksi dengan Rating &lt; 4,5</t>
  </si>
  <si>
    <t>6. Hitung total Total Penjualan setelah diskon untuk transaksi yang memiliki Rating &gt;= 4,5</t>
  </si>
  <si>
    <t>7. Hitung total Total Penjualan setelah diskon untuk transaksi dengan Diskon &gt;= 15%</t>
  </si>
  <si>
    <t>8. Hitung jumlah transaksi kategori Elektronik dengan Rating &gt;= 4,5</t>
  </si>
  <si>
    <t xml:space="preserve"> </t>
  </si>
  <si>
    <t>9. Hitung total Total Penjualan setelah diskon untuk : Sales = Andi DAN Rating &gt;= 4,5</t>
  </si>
  <si>
    <t>10. Sales mana yang memiliki total penjualan terbesar?</t>
  </si>
  <si>
    <t>Divisi</t>
  </si>
  <si>
    <t>Omzet</t>
  </si>
  <si>
    <t>Target</t>
  </si>
  <si>
    <t>Komplain</t>
  </si>
  <si>
    <t>Hari Pengiriman</t>
  </si>
  <si>
    <t>Retail</t>
  </si>
  <si>
    <t>Laptop</t>
  </si>
  <si>
    <t>Monitor</t>
  </si>
  <si>
    <t>Corporate</t>
  </si>
  <si>
    <t>Deni</t>
  </si>
  <si>
    <t>Keyboard</t>
  </si>
  <si>
    <t>Eka</t>
  </si>
  <si>
    <t>Server</t>
  </si>
  <si>
    <t>Fajar</t>
  </si>
  <si>
    <t>Mouse</t>
  </si>
  <si>
    <t>Gita</t>
  </si>
  <si>
    <t>Hadi</t>
  </si>
  <si>
    <t>Intan</t>
  </si>
  <si>
    <t>Joko</t>
  </si>
  <si>
    <t>Karin</t>
  </si>
  <si>
    <t>Leo</t>
  </si>
  <si>
    <t>1. Status  Target IF + AND</t>
  </si>
  <si>
    <t>2. Prioritas Evaluasi — IF + OR</t>
  </si>
  <si>
    <t>3. Grade Sales — 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</si>
</sst>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9" fontId="0" fillId="0" borderId="1" xfId="0" applyNumberFormat="1" applyBorder="1" applyAlignment="1">
      <alignment horizontal="right" vertical="center" wrapText="1"/>
    </xf>
    <xf numFmtId="0" fontId="1" fillId="2" borderId="2" xfId="0" applyFont="1" applyFill="1" applyBorder="1" applyAlignment="1">
      <alignment horizontal="center" vertical="center" wrapText="1"/>
    </xf>
    <xf numFmtId="43" fontId="0" fillId="0" borderId="0" xfId="1" applyFont="1"/>
    <xf numFmtId="0" fontId="0" fillId="0" borderId="1" xfId="0" applyBorder="1"/>
    <xf numFmtId="0" fontId="0" fillId="0" borderId="1" xfId="1" applyNumberFormat="1" applyFont="1" applyBorder="1"/>
    <xf numFmtId="0" fontId="3" fillId="2" borderId="1" xfId="0" applyFont="1" applyFill="1" applyBorder="1" applyAlignment="1">
      <alignment vertical="center"/>
    </xf>
    <xf numFmtId="9" fontId="0" fillId="0" borderId="0" xfId="0" applyNumberFormat="1" applyFill="1" applyBorder="1" applyAlignment="1">
      <alignment horizontal="right" vertical="center" wrapText="1"/>
    </xf>
    <xf numFmtId="0" fontId="1" fillId="0" borderId="0" xfId="0" applyFont="1"/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90495-D2E0-4A50-936C-959354022148}">
  <dimension ref="A1:P39"/>
  <sheetViews>
    <sheetView topLeftCell="B1" zoomScale="90" zoomScaleNormal="90" workbookViewId="0">
      <selection activeCell="J42" sqref="J42"/>
    </sheetView>
  </sheetViews>
  <sheetFormatPr defaultRowHeight="14.5"/>
  <cols>
    <col min="2" max="2" width="12.54296875" customWidth="1"/>
    <col min="3" max="3" width="15.90625" customWidth="1"/>
    <col min="4" max="4" width="13.7265625" customWidth="1"/>
    <col min="5" max="5" width="10.7265625" customWidth="1"/>
    <col min="6" max="7" width="9.81640625" customWidth="1"/>
    <col min="9" max="9" width="11.26953125" customWidth="1"/>
    <col min="10" max="10" width="11.90625" customWidth="1"/>
    <col min="11" max="11" width="16.54296875" customWidth="1"/>
    <col min="12" max="12" width="13.08984375" customWidth="1"/>
    <col min="13" max="13" width="14.54296875" bestFit="1" customWidth="1"/>
  </cols>
  <sheetData>
    <row r="1" spans="1:16" ht="2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7" t="s">
        <v>34</v>
      </c>
      <c r="L1" s="7" t="s">
        <v>35</v>
      </c>
      <c r="M1" s="11" t="s">
        <v>36</v>
      </c>
    </row>
    <row r="2" spans="1:16">
      <c r="A2" s="5">
        <v>1001</v>
      </c>
      <c r="B2" s="3">
        <v>46023</v>
      </c>
      <c r="C2" s="4" t="s">
        <v>10</v>
      </c>
      <c r="D2" s="4" t="s">
        <v>11</v>
      </c>
      <c r="E2" s="4" t="s">
        <v>12</v>
      </c>
      <c r="F2" s="4" t="s">
        <v>13</v>
      </c>
      <c r="G2" s="5">
        <v>8500000</v>
      </c>
      <c r="H2" s="6">
        <v>0.1</v>
      </c>
      <c r="I2" s="5">
        <v>2</v>
      </c>
      <c r="J2" s="5">
        <v>4.5</v>
      </c>
      <c r="K2" s="10" cm="1">
        <f t="array" ref="K2:K11">G2:G11*I2:I11</f>
        <v>17000000</v>
      </c>
      <c r="L2" s="9" cm="1">
        <f t="array" ref="L2:L11" xml:space="preserve"> K2:K11 * H2:H11</f>
        <v>1700000</v>
      </c>
      <c r="M2" s="9">
        <f xml:space="preserve"> K2 - L2</f>
        <v>15300000</v>
      </c>
    </row>
    <row r="3" spans="1:16">
      <c r="A3" s="5">
        <v>1002</v>
      </c>
      <c r="B3" s="3">
        <v>46024</v>
      </c>
      <c r="C3" s="4" t="s">
        <v>14</v>
      </c>
      <c r="D3" s="4" t="s">
        <v>15</v>
      </c>
      <c r="E3" s="4" t="s">
        <v>16</v>
      </c>
      <c r="F3" s="4" t="s">
        <v>17</v>
      </c>
      <c r="G3" s="5">
        <v>250000</v>
      </c>
      <c r="H3" s="6">
        <v>0.05</v>
      </c>
      <c r="I3" s="5">
        <v>5</v>
      </c>
      <c r="J3" s="14">
        <v>4.2</v>
      </c>
      <c r="K3" s="10">
        <v>1250000</v>
      </c>
      <c r="L3" s="9">
        <v>62500</v>
      </c>
      <c r="M3" s="9">
        <f t="shared" ref="M3:M11" si="0" xml:space="preserve"> K3 - L3</f>
        <v>1187500</v>
      </c>
    </row>
    <row r="4" spans="1:16">
      <c r="A4" s="5">
        <v>1003</v>
      </c>
      <c r="B4" s="3">
        <v>46025</v>
      </c>
      <c r="C4" s="4" t="s">
        <v>18</v>
      </c>
      <c r="D4" s="4" t="s">
        <v>15</v>
      </c>
      <c r="E4" s="4" t="s">
        <v>12</v>
      </c>
      <c r="F4" s="4" t="s">
        <v>19</v>
      </c>
      <c r="G4" s="5">
        <v>750000</v>
      </c>
      <c r="H4" s="6">
        <v>0.15</v>
      </c>
      <c r="I4" s="5">
        <v>3</v>
      </c>
      <c r="J4" s="5">
        <v>4.7</v>
      </c>
      <c r="K4" s="10">
        <v>2250000</v>
      </c>
      <c r="L4" s="9">
        <v>337500</v>
      </c>
      <c r="M4" s="9">
        <f t="shared" si="0"/>
        <v>1912500</v>
      </c>
    </row>
    <row r="5" spans="1:16">
      <c r="A5" s="5">
        <v>1004</v>
      </c>
      <c r="B5" s="3">
        <v>46026</v>
      </c>
      <c r="C5" s="4" t="s">
        <v>20</v>
      </c>
      <c r="D5" s="4" t="s">
        <v>11</v>
      </c>
      <c r="E5" s="4" t="s">
        <v>21</v>
      </c>
      <c r="F5" s="4" t="s">
        <v>13</v>
      </c>
      <c r="G5" s="5">
        <v>3200000</v>
      </c>
      <c r="H5" s="6">
        <v>0.1</v>
      </c>
      <c r="I5" s="5">
        <v>2</v>
      </c>
      <c r="J5" s="5">
        <v>4.0999999999999996</v>
      </c>
      <c r="K5" s="10">
        <v>6400000</v>
      </c>
      <c r="L5" s="9">
        <v>640000</v>
      </c>
      <c r="M5" s="9">
        <f t="shared" si="0"/>
        <v>5760000</v>
      </c>
    </row>
    <row r="6" spans="1:16">
      <c r="A6" s="5">
        <v>1005</v>
      </c>
      <c r="B6" s="3">
        <v>46027</v>
      </c>
      <c r="C6" s="4" t="s">
        <v>10</v>
      </c>
      <c r="D6" s="4" t="s">
        <v>11</v>
      </c>
      <c r="E6" s="4" t="s">
        <v>16</v>
      </c>
      <c r="F6" s="4" t="s">
        <v>17</v>
      </c>
      <c r="G6" s="5">
        <v>8500000</v>
      </c>
      <c r="H6" s="6">
        <v>0.2</v>
      </c>
      <c r="I6" s="5">
        <v>4</v>
      </c>
      <c r="J6" s="5">
        <v>4.8</v>
      </c>
      <c r="K6" s="10">
        <v>34000000</v>
      </c>
      <c r="L6" s="9">
        <v>6800000</v>
      </c>
      <c r="M6" s="9">
        <f t="shared" si="0"/>
        <v>27200000</v>
      </c>
    </row>
    <row r="7" spans="1:16">
      <c r="A7" s="5">
        <v>1006</v>
      </c>
      <c r="B7" s="3">
        <v>46028</v>
      </c>
      <c r="C7" s="4" t="s">
        <v>22</v>
      </c>
      <c r="D7" s="4" t="s">
        <v>15</v>
      </c>
      <c r="E7" s="4" t="s">
        <v>23</v>
      </c>
      <c r="F7" s="4" t="s">
        <v>19</v>
      </c>
      <c r="G7" s="5">
        <v>500000</v>
      </c>
      <c r="H7" s="6">
        <v>0.05</v>
      </c>
      <c r="I7" s="5">
        <v>6</v>
      </c>
      <c r="J7" s="5">
        <v>4</v>
      </c>
      <c r="K7" s="10">
        <v>3000000</v>
      </c>
      <c r="L7" s="9">
        <v>150000</v>
      </c>
      <c r="M7" s="9">
        <f t="shared" si="0"/>
        <v>2850000</v>
      </c>
    </row>
    <row r="8" spans="1:16">
      <c r="A8" s="5">
        <v>1007</v>
      </c>
      <c r="B8" s="3">
        <v>46029</v>
      </c>
      <c r="C8" s="4" t="s">
        <v>14</v>
      </c>
      <c r="D8" s="4" t="s">
        <v>15</v>
      </c>
      <c r="E8" s="4" t="s">
        <v>12</v>
      </c>
      <c r="F8" s="4" t="s">
        <v>13</v>
      </c>
      <c r="G8" s="5">
        <v>250000</v>
      </c>
      <c r="H8" s="6">
        <v>0.1</v>
      </c>
      <c r="I8" s="5">
        <v>8</v>
      </c>
      <c r="J8" s="5">
        <v>4.3</v>
      </c>
      <c r="K8" s="10">
        <v>2000000</v>
      </c>
      <c r="L8" s="9">
        <v>200000</v>
      </c>
      <c r="M8" s="9">
        <f t="shared" si="0"/>
        <v>1800000</v>
      </c>
    </row>
    <row r="9" spans="1:16">
      <c r="A9" s="5">
        <v>1008</v>
      </c>
      <c r="B9" s="3">
        <v>46030</v>
      </c>
      <c r="C9" s="4" t="s">
        <v>10</v>
      </c>
      <c r="D9" s="4" t="s">
        <v>11</v>
      </c>
      <c r="E9" s="4" t="s">
        <v>23</v>
      </c>
      <c r="F9" s="4" t="s">
        <v>17</v>
      </c>
      <c r="G9" s="5">
        <v>8500000</v>
      </c>
      <c r="H9" s="6">
        <v>0.15</v>
      </c>
      <c r="I9" s="5">
        <v>1</v>
      </c>
      <c r="J9" s="5">
        <v>4.5999999999999996</v>
      </c>
      <c r="K9" s="10">
        <v>8500000</v>
      </c>
      <c r="L9" s="9">
        <v>1275000</v>
      </c>
      <c r="M9" s="9">
        <f t="shared" si="0"/>
        <v>7225000</v>
      </c>
    </row>
    <row r="10" spans="1:16">
      <c r="A10" s="5">
        <v>1009</v>
      </c>
      <c r="B10" s="3">
        <v>46031</v>
      </c>
      <c r="C10" s="4" t="s">
        <v>20</v>
      </c>
      <c r="D10" s="4" t="s">
        <v>11</v>
      </c>
      <c r="E10" s="4" t="s">
        <v>16</v>
      </c>
      <c r="F10" s="4" t="s">
        <v>19</v>
      </c>
      <c r="G10" s="5">
        <v>3200000</v>
      </c>
      <c r="H10" s="6">
        <v>0.05</v>
      </c>
      <c r="I10" s="5">
        <v>3</v>
      </c>
      <c r="J10" s="5">
        <v>4.4000000000000004</v>
      </c>
      <c r="K10" s="10">
        <v>9600000</v>
      </c>
      <c r="L10" s="9">
        <v>480000</v>
      </c>
      <c r="M10" s="9">
        <f t="shared" si="0"/>
        <v>9120000</v>
      </c>
    </row>
    <row r="11" spans="1:16">
      <c r="A11" s="5">
        <v>1010</v>
      </c>
      <c r="B11" s="3">
        <v>46032</v>
      </c>
      <c r="C11" s="4" t="s">
        <v>18</v>
      </c>
      <c r="D11" s="4" t="s">
        <v>15</v>
      </c>
      <c r="E11" s="4" t="s">
        <v>21</v>
      </c>
      <c r="F11" s="4" t="s">
        <v>13</v>
      </c>
      <c r="G11" s="5">
        <v>750000</v>
      </c>
      <c r="H11" s="6">
        <v>0.1</v>
      </c>
      <c r="I11" s="5">
        <v>7</v>
      </c>
      <c r="J11" s="5">
        <v>4.9000000000000004</v>
      </c>
      <c r="K11" s="10">
        <v>5250000</v>
      </c>
      <c r="L11" s="9">
        <v>525000</v>
      </c>
      <c r="M11" s="9">
        <f t="shared" si="0"/>
        <v>4725000</v>
      </c>
    </row>
    <row r="13" spans="1:16">
      <c r="B13" t="s">
        <v>24</v>
      </c>
      <c r="E13">
        <f>SUM(I2:I11)</f>
        <v>41</v>
      </c>
      <c r="H13" s="12"/>
      <c r="I13" t="s">
        <v>37</v>
      </c>
      <c r="M13" s="8">
        <f>SUM(M2:M11)</f>
        <v>77080000</v>
      </c>
      <c r="P13" s="13" t="s">
        <v>43</v>
      </c>
    </row>
    <row r="14" spans="1:16">
      <c r="B14" t="s">
        <v>25</v>
      </c>
      <c r="E14">
        <f>AVERAGE(I2:I11)</f>
        <v>4.0999999999999996</v>
      </c>
      <c r="I14" t="s">
        <v>38</v>
      </c>
      <c r="M14" s="8">
        <f>AVERAGE(M2:M11)</f>
        <v>7708000</v>
      </c>
      <c r="P14" s="13" t="s">
        <v>44</v>
      </c>
    </row>
    <row r="15" spans="1:16">
      <c r="B15" t="s">
        <v>26</v>
      </c>
      <c r="E15">
        <f>COUNT(I2:I11)</f>
        <v>10</v>
      </c>
      <c r="I15" t="s">
        <v>39</v>
      </c>
      <c r="M15">
        <f>SUMIF(D2:D11, "Elektronik", M2:M11)</f>
        <v>64605000</v>
      </c>
      <c r="P15" s="13" t="s">
        <v>45</v>
      </c>
    </row>
    <row r="16" spans="1:16">
      <c r="B16" t="s">
        <v>27</v>
      </c>
      <c r="E16">
        <f>COUNTIF(E2:E11, "Bandung")</f>
        <v>3</v>
      </c>
      <c r="I16" t="s">
        <v>40</v>
      </c>
      <c r="M16">
        <f>SUMIF(E2:E11, "Bandung", M2:M11)</f>
        <v>19012500</v>
      </c>
      <c r="P16" s="13" t="s">
        <v>46</v>
      </c>
    </row>
    <row r="17" spans="2:16">
      <c r="B17" t="s">
        <v>28</v>
      </c>
      <c r="E17">
        <f>COUNTIF(J2:J11, "&gt;=4.5")</f>
        <v>0</v>
      </c>
      <c r="I17" t="s">
        <v>41</v>
      </c>
      <c r="M17">
        <f>COUNTIF(H2:H11, "&gt;=10%")</f>
        <v>7</v>
      </c>
      <c r="P17" s="13" t="s">
        <v>47</v>
      </c>
    </row>
    <row r="18" spans="2:16">
      <c r="B18" t="s">
        <v>29</v>
      </c>
      <c r="E18">
        <f>SUMIF(E2:E11, "Bandung", I2:I11)</f>
        <v>13</v>
      </c>
      <c r="I18" t="s">
        <v>42</v>
      </c>
      <c r="N18">
        <f>COUNTIFS(J2:J11, "&gt;=4.5", I2:I11, "&gt;=4")</f>
        <v>0</v>
      </c>
    </row>
    <row r="19" spans="2:16">
      <c r="B19" t="s">
        <v>30</v>
      </c>
      <c r="E19">
        <f>SUMIF(F2:F11, "Andi", I2:I11)</f>
        <v>19</v>
      </c>
    </row>
    <row r="20" spans="2:16">
      <c r="B20" t="s">
        <v>31</v>
      </c>
      <c r="E20">
        <f>SUM(G2:G11)</f>
        <v>34400000</v>
      </c>
      <c r="I20" t="s">
        <v>48</v>
      </c>
    </row>
    <row r="21" spans="2:16">
      <c r="B21" t="s">
        <v>32</v>
      </c>
      <c r="E21">
        <f>AVERAGE(G2:G11)</f>
        <v>3440000</v>
      </c>
      <c r="I21">
        <f>SUMIF(F2:F11, "Andi", M2:M11)</f>
        <v>27585000</v>
      </c>
    </row>
    <row r="22" spans="2:16">
      <c r="B22" t="s">
        <v>33</v>
      </c>
      <c r="E22">
        <f>SUMIF(D2:D11, "Elektronik", I2:I11)</f>
        <v>12</v>
      </c>
      <c r="I22" t="s">
        <v>49</v>
      </c>
    </row>
    <row r="23" spans="2:16">
      <c r="I23">
        <f>SUMIF(F2:F11, "Budi", M2:M11)</f>
        <v>35612500</v>
      </c>
    </row>
    <row r="24" spans="2:16">
      <c r="I24" t="s">
        <v>50</v>
      </c>
    </row>
    <row r="25" spans="2:16">
      <c r="I25">
        <f>SUMIF(F2:F11, "Citra", M2:M11)</f>
        <v>13882500</v>
      </c>
    </row>
    <row r="26" spans="2:16">
      <c r="I26" t="s">
        <v>51</v>
      </c>
    </row>
    <row r="27" spans="2:16">
      <c r="I27">
        <f>AVERAGE(J2:J11)</f>
        <v>4.45</v>
      </c>
    </row>
    <row r="28" spans="2:16">
      <c r="I28" t="s">
        <v>52</v>
      </c>
    </row>
    <row r="29" spans="2:16">
      <c r="I29">
        <f>COUNTIF(J2:J11, "&lt; 4,5")</f>
        <v>5</v>
      </c>
    </row>
    <row r="30" spans="2:16">
      <c r="I30" t="s">
        <v>53</v>
      </c>
    </row>
    <row r="31" spans="2:16">
      <c r="I31">
        <f>SUMIF(J2:J11, "&gt;=4,5", M2:M11)</f>
        <v>56362500</v>
      </c>
    </row>
    <row r="32" spans="2:16">
      <c r="I32" t="s">
        <v>54</v>
      </c>
    </row>
    <row r="33" spans="8:9">
      <c r="I33">
        <f>SUMIF(H2:H11, "&gt;=15%", M2:M11)</f>
        <v>36337500</v>
      </c>
    </row>
    <row r="34" spans="8:9">
      <c r="I34" t="s">
        <v>55</v>
      </c>
    </row>
    <row r="35" spans="8:9">
      <c r="I35">
        <f>COUNTIF(J2:J11, "&gt;= 4,5")</f>
        <v>5</v>
      </c>
    </row>
    <row r="36" spans="8:9">
      <c r="H36" t="s">
        <v>56</v>
      </c>
      <c r="I36" t="s">
        <v>57</v>
      </c>
    </row>
    <row r="37" spans="8:9">
      <c r="I37">
        <f>SUMIFS(M2:M11, F2:F11, "Andi", J2:J11, "&gt;=4,5")</f>
        <v>20025000</v>
      </c>
    </row>
    <row r="38" spans="8:9">
      <c r="I38" t="s">
        <v>58</v>
      </c>
    </row>
    <row r="39" spans="8:9">
      <c r="I39" t="s">
        <v>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883C5-8787-4701-A9EC-BF7B51FBE2A2}">
  <dimension ref="A1:J18"/>
  <sheetViews>
    <sheetView tabSelected="1" zoomScale="90" zoomScaleNormal="90" workbookViewId="0">
      <selection activeCell="E18" sqref="E18"/>
    </sheetView>
  </sheetViews>
  <sheetFormatPr defaultRowHeight="14.5"/>
  <cols>
    <col min="1" max="1" width="3.81640625" bestFit="1" customWidth="1"/>
    <col min="2" max="2" width="6.81640625" customWidth="1"/>
    <col min="3" max="3" width="11.7265625" customWidth="1"/>
    <col min="5" max="6" width="12.08984375" customWidth="1"/>
    <col min="7" max="7" width="7.36328125" customWidth="1"/>
    <col min="8" max="8" width="6.81640625" customWidth="1"/>
    <col min="9" max="9" width="11.81640625" customWidth="1"/>
    <col min="10" max="10" width="13.1796875" customWidth="1"/>
  </cols>
  <sheetData>
    <row r="1" spans="1:10" ht="29">
      <c r="A1" s="2" t="s">
        <v>0</v>
      </c>
      <c r="B1" s="2" t="s">
        <v>5</v>
      </c>
      <c r="C1" s="2" t="s">
        <v>59</v>
      </c>
      <c r="D1" s="2" t="s">
        <v>2</v>
      </c>
      <c r="E1" s="2" t="s">
        <v>60</v>
      </c>
      <c r="F1" s="2" t="s">
        <v>61</v>
      </c>
      <c r="G1" s="2" t="s">
        <v>7</v>
      </c>
      <c r="H1" s="2" t="s">
        <v>9</v>
      </c>
      <c r="I1" s="2" t="s">
        <v>62</v>
      </c>
      <c r="J1" s="2" t="s">
        <v>63</v>
      </c>
    </row>
    <row r="2" spans="1:10">
      <c r="A2" s="5">
        <v>101</v>
      </c>
      <c r="B2" s="4" t="s">
        <v>13</v>
      </c>
      <c r="C2" s="4" t="s">
        <v>64</v>
      </c>
      <c r="D2" s="4" t="s">
        <v>65</v>
      </c>
      <c r="E2" s="15">
        <v>48000000</v>
      </c>
      <c r="F2" s="15">
        <v>45000000</v>
      </c>
      <c r="G2" s="6">
        <v>0.1</v>
      </c>
      <c r="H2" s="5">
        <v>4.8</v>
      </c>
      <c r="I2" s="5">
        <v>0</v>
      </c>
      <c r="J2" s="5">
        <v>2</v>
      </c>
    </row>
    <row r="3" spans="1:10">
      <c r="A3" s="5">
        <v>102</v>
      </c>
      <c r="B3" s="4" t="s">
        <v>17</v>
      </c>
      <c r="C3" s="4" t="s">
        <v>64</v>
      </c>
      <c r="D3" s="4" t="s">
        <v>66</v>
      </c>
      <c r="E3" s="15">
        <v>32000000</v>
      </c>
      <c r="F3" s="15">
        <v>35000000</v>
      </c>
      <c r="G3" s="6">
        <v>0.15</v>
      </c>
      <c r="H3" s="5">
        <v>4.2</v>
      </c>
      <c r="I3" s="5">
        <v>2</v>
      </c>
      <c r="J3" s="5">
        <v>4</v>
      </c>
    </row>
    <row r="4" spans="1:10">
      <c r="A4" s="5">
        <v>103</v>
      </c>
      <c r="B4" s="4" t="s">
        <v>19</v>
      </c>
      <c r="C4" s="4" t="s">
        <v>67</v>
      </c>
      <c r="D4" s="4" t="s">
        <v>65</v>
      </c>
      <c r="E4" s="15">
        <v>75000000</v>
      </c>
      <c r="F4" s="15">
        <v>70000000</v>
      </c>
      <c r="G4" s="6">
        <v>0.05</v>
      </c>
      <c r="H4" s="5">
        <v>4.9000000000000004</v>
      </c>
      <c r="I4" s="5">
        <v>0</v>
      </c>
      <c r="J4" s="5">
        <v>2</v>
      </c>
    </row>
    <row r="5" spans="1:10">
      <c r="A5" s="5">
        <v>104</v>
      </c>
      <c r="B5" s="4" t="s">
        <v>68</v>
      </c>
      <c r="C5" s="4" t="s">
        <v>64</v>
      </c>
      <c r="D5" s="4" t="s">
        <v>69</v>
      </c>
      <c r="E5" s="15">
        <v>12000000</v>
      </c>
      <c r="F5" s="15">
        <v>15000000</v>
      </c>
      <c r="G5" s="6">
        <v>0.2</v>
      </c>
      <c r="H5" s="5">
        <v>3.8</v>
      </c>
      <c r="I5" s="5">
        <v>3</v>
      </c>
      <c r="J5" s="5">
        <v>6</v>
      </c>
    </row>
    <row r="6" spans="1:10">
      <c r="A6" s="5">
        <v>105</v>
      </c>
      <c r="B6" s="4" t="s">
        <v>70</v>
      </c>
      <c r="C6" s="4" t="s">
        <v>67</v>
      </c>
      <c r="D6" s="4" t="s">
        <v>71</v>
      </c>
      <c r="E6" s="15">
        <v>125000000</v>
      </c>
      <c r="F6" s="15">
        <v>100000000</v>
      </c>
      <c r="G6" s="6">
        <v>0.08</v>
      </c>
      <c r="H6" s="5">
        <v>4.7</v>
      </c>
      <c r="I6" s="5">
        <v>1</v>
      </c>
      <c r="J6" s="5">
        <v>3</v>
      </c>
    </row>
    <row r="7" spans="1:10">
      <c r="A7" s="5">
        <v>106</v>
      </c>
      <c r="B7" s="4" t="s">
        <v>72</v>
      </c>
      <c r="C7" s="4" t="s">
        <v>64</v>
      </c>
      <c r="D7" s="4" t="s">
        <v>73</v>
      </c>
      <c r="E7" s="15">
        <v>8000000</v>
      </c>
      <c r="F7" s="15">
        <v>7000000</v>
      </c>
      <c r="G7" s="6">
        <v>0.05</v>
      </c>
      <c r="H7" s="5">
        <v>4.5</v>
      </c>
      <c r="I7" s="5">
        <v>0</v>
      </c>
      <c r="J7" s="5">
        <v>2</v>
      </c>
    </row>
    <row r="8" spans="1:10">
      <c r="A8" s="5">
        <v>107</v>
      </c>
      <c r="B8" s="4" t="s">
        <v>74</v>
      </c>
      <c r="C8" s="4" t="s">
        <v>67</v>
      </c>
      <c r="D8" s="4" t="s">
        <v>65</v>
      </c>
      <c r="E8" s="15">
        <v>62000000</v>
      </c>
      <c r="F8" s="15">
        <v>65000000</v>
      </c>
      <c r="G8" s="6">
        <v>0.12</v>
      </c>
      <c r="H8" s="5">
        <v>4.0999999999999996</v>
      </c>
      <c r="I8" s="5">
        <v>1</v>
      </c>
      <c r="J8" s="5">
        <v>5</v>
      </c>
    </row>
    <row r="9" spans="1:10">
      <c r="A9" s="5">
        <v>108</v>
      </c>
      <c r="B9" s="4" t="s">
        <v>75</v>
      </c>
      <c r="C9" s="4" t="s">
        <v>64</v>
      </c>
      <c r="D9" s="4" t="s">
        <v>66</v>
      </c>
      <c r="E9" s="15">
        <v>40000000</v>
      </c>
      <c r="F9" s="15">
        <v>38000000</v>
      </c>
      <c r="G9" s="6">
        <v>0.1</v>
      </c>
      <c r="H9" s="5">
        <v>3.9</v>
      </c>
      <c r="I9" s="5">
        <v>2</v>
      </c>
      <c r="J9" s="5">
        <v>4</v>
      </c>
    </row>
    <row r="10" spans="1:10">
      <c r="A10" s="5">
        <v>109</v>
      </c>
      <c r="B10" s="4" t="s">
        <v>76</v>
      </c>
      <c r="C10" s="4" t="s">
        <v>67</v>
      </c>
      <c r="D10" s="4" t="s">
        <v>71</v>
      </c>
      <c r="E10" s="15">
        <v>95000000</v>
      </c>
      <c r="F10" s="15">
        <v>90000000</v>
      </c>
      <c r="G10" s="6">
        <v>7.0000000000000007E-2</v>
      </c>
      <c r="H10" s="5">
        <v>4.5999999999999996</v>
      </c>
      <c r="I10" s="5">
        <v>0</v>
      </c>
      <c r="J10" s="5">
        <v>3</v>
      </c>
    </row>
    <row r="11" spans="1:10">
      <c r="A11" s="5">
        <v>110</v>
      </c>
      <c r="B11" s="4" t="s">
        <v>77</v>
      </c>
      <c r="C11" s="4" t="s">
        <v>64</v>
      </c>
      <c r="D11" s="4" t="s">
        <v>65</v>
      </c>
      <c r="E11" s="15">
        <v>55000000</v>
      </c>
      <c r="F11" s="15">
        <v>50000000</v>
      </c>
      <c r="G11" s="6">
        <v>0.18</v>
      </c>
      <c r="H11" s="5">
        <v>4.3</v>
      </c>
      <c r="I11" s="5">
        <v>1</v>
      </c>
      <c r="J11" s="5">
        <v>5</v>
      </c>
    </row>
    <row r="12" spans="1:10">
      <c r="A12" s="5">
        <v>111</v>
      </c>
      <c r="B12" s="4" t="s">
        <v>78</v>
      </c>
      <c r="C12" s="4" t="s">
        <v>67</v>
      </c>
      <c r="D12" s="4" t="s">
        <v>71</v>
      </c>
      <c r="E12" s="15">
        <v>140000000</v>
      </c>
      <c r="F12" s="15">
        <v>150000000</v>
      </c>
      <c r="G12" s="6">
        <v>0.05</v>
      </c>
      <c r="H12" s="5">
        <v>4.9000000000000004</v>
      </c>
      <c r="I12" s="5">
        <v>0</v>
      </c>
      <c r="J12" s="5">
        <v>2</v>
      </c>
    </row>
    <row r="13" spans="1:10">
      <c r="A13" s="5">
        <v>112</v>
      </c>
      <c r="B13" s="4" t="s">
        <v>79</v>
      </c>
      <c r="C13" s="4" t="s">
        <v>64</v>
      </c>
      <c r="D13" s="4" t="s">
        <v>69</v>
      </c>
      <c r="E13" s="15">
        <v>18000000</v>
      </c>
      <c r="F13" s="15">
        <v>20000000</v>
      </c>
      <c r="G13" s="6">
        <v>0.25</v>
      </c>
      <c r="H13" s="5">
        <v>3.5</v>
      </c>
      <c r="I13" s="5">
        <v>4</v>
      </c>
      <c r="J13" s="5">
        <v>7</v>
      </c>
    </row>
    <row r="16" spans="1:10">
      <c r="B16" s="17" t="s">
        <v>80</v>
      </c>
      <c r="C16" s="16"/>
      <c r="E16" s="13" t="str">
        <f>IF(AND(E2&gt;=F2, H2&gt;=4.5), "Excellent",  IF(E2&gt;=F2, "Achieved","Not Achieved"))</f>
        <v>Excellent</v>
      </c>
    </row>
    <row r="17" spans="2:5">
      <c r="B17" t="s">
        <v>81</v>
      </c>
      <c r="E17" s="13" t="str">
        <f>IF(OR(I2&gt;=3, H2&lt;4, J2&gt;5), "Review", "Normal")</f>
        <v>Normal</v>
      </c>
    </row>
    <row r="18" spans="2:5">
      <c r="B18" t="s">
        <v>82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Mathematical &amp; statistical func</vt:lpstr>
      <vt:lpstr>Logical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Tambunan</dc:creator>
  <cp:lastModifiedBy>Samuel Tambunan</cp:lastModifiedBy>
  <dcterms:created xsi:type="dcterms:W3CDTF">2026-08-17T12:49:36Z</dcterms:created>
  <dcterms:modified xsi:type="dcterms:W3CDTF">2026-08-18T18:23:52Z</dcterms:modified>
</cp:coreProperties>
</file>