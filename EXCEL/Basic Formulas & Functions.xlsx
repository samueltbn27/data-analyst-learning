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 Tambunan\Documents\DATA ANALYST LEARNING\EXCEL\"/>
    </mc:Choice>
  </mc:AlternateContent>
  <xr:revisionPtr revIDLastSave="0" documentId="8_{54366438-1304-4866-BD90-C55E0EE9A76F}" xr6:coauthVersionLast="47" xr6:coauthVersionMax="47" xr10:uidLastSave="{00000000-0000-0000-0000-000000000000}"/>
  <bookViews>
    <workbookView xWindow="-110" yWindow="-110" windowWidth="19420" windowHeight="10300" xr2:uid="{4BCC91FC-A7DC-4952-B43D-55B4D8EAA6A1}"/>
  </bookViews>
  <sheets>
    <sheet name="Fungsi matematika &amp; statisti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8" i="1" l="1"/>
  <c r="M17" i="1"/>
  <c r="L2" i="1" a="1"/>
  <c r="L2" i="1" s="1"/>
  <c r="M2" i="1" s="1"/>
  <c r="M3" i="1"/>
  <c r="M4" i="1"/>
  <c r="M5" i="1"/>
  <c r="M6" i="1"/>
  <c r="M7" i="1"/>
  <c r="M8" i="1"/>
  <c r="M9" i="1"/>
  <c r="M10" i="1"/>
  <c r="M11" i="1"/>
  <c r="K2" i="1" a="1"/>
  <c r="K2" i="1" s="1"/>
  <c r="E20" i="1"/>
  <c r="E17" i="1"/>
  <c r="E22" i="1"/>
  <c r="E21" i="1"/>
  <c r="E19" i="1"/>
  <c r="E18" i="1"/>
  <c r="E16" i="1"/>
  <c r="E15" i="1"/>
  <c r="E14" i="1"/>
  <c r="E13" i="1"/>
  <c r="M14" i="1" l="1"/>
  <c r="M13" i="1"/>
  <c r="M15" i="1"/>
  <c r="M1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<sst xmlns="http://schemas.openxmlformats.org/spreadsheetml/2006/main" count="79" uniqueCount="53">
  <si>
    <t>ID</t>
  </si>
  <si>
    <t>Tanggal</t>
  </si>
  <si>
    <t>Produk</t>
  </si>
  <si>
    <t>Kategori</t>
  </si>
  <si>
    <t>Kota</t>
  </si>
  <si>
    <t>Sales</t>
  </si>
  <si>
    <t>Harga</t>
  </si>
  <si>
    <t>Diskon</t>
  </si>
  <si>
    <t>Jumlah</t>
  </si>
  <si>
    <t>Rating</t>
  </si>
  <si>
    <t>Laptop A</t>
  </si>
  <si>
    <t>Elektronik</t>
  </si>
  <si>
    <t>Bandung</t>
  </si>
  <si>
    <t>Andi</t>
  </si>
  <si>
    <t>4.5</t>
  </si>
  <si>
    <t>Mouse B</t>
  </si>
  <si>
    <t>Aksesoris</t>
  </si>
  <si>
    <t>Jakarta</t>
  </si>
  <si>
    <t>Budi</t>
  </si>
  <si>
    <t>4.2</t>
  </si>
  <si>
    <t>Keyboard C</t>
  </si>
  <si>
    <t>Citra</t>
  </si>
  <si>
    <t>4.7</t>
  </si>
  <si>
    <t>Monitor D</t>
  </si>
  <si>
    <t>Bekasi</t>
  </si>
  <si>
    <t>4.1</t>
  </si>
  <si>
    <t>4.8</t>
  </si>
  <si>
    <t>Headset E</t>
  </si>
  <si>
    <t>Bogor</t>
  </si>
  <si>
    <t>4.0</t>
  </si>
  <si>
    <t>4.3</t>
  </si>
  <si>
    <t>4.6</t>
  </si>
  <si>
    <t>4.4</t>
  </si>
  <si>
    <t>4.9</t>
  </si>
  <si>
    <t>1. Total barang terjual</t>
  </si>
  <si>
    <t>2. Rata-rata jumlah barang per transaksi</t>
  </si>
  <si>
    <t>3. Jumlah transaksi</t>
  </si>
  <si>
    <t>4. Jumlah transaksi di Bandung</t>
  </si>
  <si>
    <t>5. Jumlah transaksi dengan Rating minimal 4,5</t>
  </si>
  <si>
    <t>6. Total barang yang terjual di Bandung</t>
  </si>
  <si>
    <t>7. Total barang yang dijual oleh Andi</t>
  </si>
  <si>
    <t>8. Total harga seluruh transaksi</t>
  </si>
  <si>
    <t xml:space="preserve">9. Rata-rata harga produk </t>
  </si>
  <si>
    <t>10. Total barang kategori Elektronik</t>
  </si>
  <si>
    <t>Total Sebelum Diskon</t>
  </si>
  <si>
    <t>Nilai Diskon</t>
  </si>
  <si>
    <t>Total Penjualan</t>
  </si>
  <si>
    <t>4. Hitung total seluruh penjualan setelah diskon</t>
  </si>
  <si>
    <t>5. Hitung rata-rata nilai penjualan per transaksi</t>
  </si>
  <si>
    <t>6. Cari total penjualan yang berasal dari kategori Elektronik</t>
  </si>
  <si>
    <t>7. Cari total penjualan yang berasal dari kota Bandung</t>
  </si>
  <si>
    <t>8. Hitung jumlah transaksi yang memiliki Diskon &gt;= 10%</t>
  </si>
  <si>
    <t>9. Hitung jumlah transaksi yang memiliki Rating &gt;= 4,5 dan Jumlah &gt;=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</si>
</sst>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1" fillId="2" borderId="2" xfId="0" applyFont="1" applyFill="1" applyBorder="1" applyAlignment="1">
      <alignment horizontal="center" vertical="center" wrapText="1"/>
    </xf>
    <xf numFmtId="43" fontId="0" fillId="0" borderId="0" xfId="1" applyFont="1"/>
    <xf numFmtId="0" fontId="0" fillId="0" borderId="1" xfId="0" applyBorder="1"/>
    <xf numFmtId="0" fontId="0" fillId="0" borderId="1" xfId="1" applyNumberFormat="1" applyFont="1" applyBorder="1"/>
    <xf numFmtId="0" fontId="3" fillId="2" borderId="1" xfId="0" applyFont="1" applyFill="1" applyBorder="1" applyAlignment="1">
      <alignment vertical="center"/>
    </xf>
    <xf numFmtId="9" fontId="0" fillId="0" borderId="0" xfId="0" applyNumberFormat="1" applyFill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0495-D2E0-4A50-936C-959354022148}">
  <dimension ref="A1:N22"/>
  <sheetViews>
    <sheetView tabSelected="1" zoomScale="90" zoomScaleNormal="90" workbookViewId="0">
      <selection activeCell="J17" sqref="J17"/>
    </sheetView>
  </sheetViews>
  <sheetFormatPr defaultRowHeight="14.5"/>
  <cols>
    <col min="2" max="2" width="12.54296875" customWidth="1"/>
    <col min="3" max="3" width="15.90625" customWidth="1"/>
    <col min="4" max="4" width="13.7265625" customWidth="1"/>
    <col min="5" max="5" width="10.7265625" customWidth="1"/>
    <col min="6" max="7" width="9.81640625" customWidth="1"/>
    <col min="9" max="9" width="11.26953125" customWidth="1"/>
    <col min="10" max="10" width="11.90625" customWidth="1"/>
    <col min="11" max="11" width="16.54296875" customWidth="1"/>
    <col min="12" max="12" width="13.08984375" customWidth="1"/>
    <col min="13" max="13" width="14.54296875" bestFit="1" customWidth="1"/>
  </cols>
  <sheetData>
    <row r="1" spans="1:13" ht="2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7" t="s">
        <v>44</v>
      </c>
      <c r="L1" s="7" t="s">
        <v>45</v>
      </c>
      <c r="M1" s="11" t="s">
        <v>46</v>
      </c>
    </row>
    <row r="2" spans="1:13">
      <c r="A2" s="5">
        <v>1001</v>
      </c>
      <c r="B2" s="3">
        <v>46023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8500000</v>
      </c>
      <c r="H2" s="6">
        <v>0.1</v>
      </c>
      <c r="I2" s="5">
        <v>2</v>
      </c>
      <c r="J2" s="5" t="s">
        <v>14</v>
      </c>
      <c r="K2" s="10" cm="1">
        <f t="array" ref="K2:K11">G2:G11*I2:I11</f>
        <v>17000000</v>
      </c>
      <c r="L2" s="9" cm="1">
        <f t="array" ref="L2:L11" xml:space="preserve"> K2:K11 * H2:H11</f>
        <v>1700000</v>
      </c>
      <c r="M2" s="9">
        <f xml:space="preserve"> K2 - L2</f>
        <v>15300000</v>
      </c>
    </row>
    <row r="3" spans="1:13">
      <c r="A3" s="5">
        <v>1002</v>
      </c>
      <c r="B3" s="3">
        <v>46024</v>
      </c>
      <c r="C3" s="4" t="s">
        <v>15</v>
      </c>
      <c r="D3" s="4" t="s">
        <v>16</v>
      </c>
      <c r="E3" s="4" t="s">
        <v>17</v>
      </c>
      <c r="F3" s="4" t="s">
        <v>18</v>
      </c>
      <c r="G3" s="5">
        <v>250000</v>
      </c>
      <c r="H3" s="6">
        <v>0.05</v>
      </c>
      <c r="I3" s="5">
        <v>5</v>
      </c>
      <c r="J3" s="5" t="s">
        <v>19</v>
      </c>
      <c r="K3" s="10">
        <v>1250000</v>
      </c>
      <c r="L3" s="9">
        <v>62500</v>
      </c>
      <c r="M3" s="9">
        <f t="shared" ref="M3:M11" si="0" xml:space="preserve"> K3 - L3</f>
        <v>1187500</v>
      </c>
    </row>
    <row r="4" spans="1:13">
      <c r="A4" s="5">
        <v>1003</v>
      </c>
      <c r="B4" s="3">
        <v>46025</v>
      </c>
      <c r="C4" s="4" t="s">
        <v>20</v>
      </c>
      <c r="D4" s="4" t="s">
        <v>16</v>
      </c>
      <c r="E4" s="4" t="s">
        <v>12</v>
      </c>
      <c r="F4" s="4" t="s">
        <v>21</v>
      </c>
      <c r="G4" s="5">
        <v>750000</v>
      </c>
      <c r="H4" s="6">
        <v>0.15</v>
      </c>
      <c r="I4" s="5">
        <v>3</v>
      </c>
      <c r="J4" s="5" t="s">
        <v>22</v>
      </c>
      <c r="K4" s="10">
        <v>2250000</v>
      </c>
      <c r="L4" s="9">
        <v>337500</v>
      </c>
      <c r="M4" s="9">
        <f t="shared" si="0"/>
        <v>1912500</v>
      </c>
    </row>
    <row r="5" spans="1:13">
      <c r="A5" s="5">
        <v>1004</v>
      </c>
      <c r="B5" s="3">
        <v>46026</v>
      </c>
      <c r="C5" s="4" t="s">
        <v>23</v>
      </c>
      <c r="D5" s="4" t="s">
        <v>11</v>
      </c>
      <c r="E5" s="4" t="s">
        <v>24</v>
      </c>
      <c r="F5" s="4" t="s">
        <v>13</v>
      </c>
      <c r="G5" s="5">
        <v>3200000</v>
      </c>
      <c r="H5" s="6">
        <v>0.1</v>
      </c>
      <c r="I5" s="5">
        <v>2</v>
      </c>
      <c r="J5" s="5" t="s">
        <v>25</v>
      </c>
      <c r="K5" s="10">
        <v>6400000</v>
      </c>
      <c r="L5" s="9">
        <v>640000</v>
      </c>
      <c r="M5" s="9">
        <f t="shared" si="0"/>
        <v>5760000</v>
      </c>
    </row>
    <row r="6" spans="1:13">
      <c r="A6" s="5">
        <v>1005</v>
      </c>
      <c r="B6" s="3">
        <v>46027</v>
      </c>
      <c r="C6" s="4" t="s">
        <v>10</v>
      </c>
      <c r="D6" s="4" t="s">
        <v>11</v>
      </c>
      <c r="E6" s="4" t="s">
        <v>17</v>
      </c>
      <c r="F6" s="4" t="s">
        <v>18</v>
      </c>
      <c r="G6" s="5">
        <v>8500000</v>
      </c>
      <c r="H6" s="6">
        <v>0.2</v>
      </c>
      <c r="I6" s="5">
        <v>4</v>
      </c>
      <c r="J6" s="5" t="s">
        <v>26</v>
      </c>
      <c r="K6" s="10">
        <v>34000000</v>
      </c>
      <c r="L6" s="9">
        <v>6800000</v>
      </c>
      <c r="M6" s="9">
        <f t="shared" si="0"/>
        <v>27200000</v>
      </c>
    </row>
    <row r="7" spans="1:13">
      <c r="A7" s="5">
        <v>1006</v>
      </c>
      <c r="B7" s="3">
        <v>46028</v>
      </c>
      <c r="C7" s="4" t="s">
        <v>27</v>
      </c>
      <c r="D7" s="4" t="s">
        <v>16</v>
      </c>
      <c r="E7" s="4" t="s">
        <v>28</v>
      </c>
      <c r="F7" s="4" t="s">
        <v>21</v>
      </c>
      <c r="G7" s="5">
        <v>500000</v>
      </c>
      <c r="H7" s="6">
        <v>0.05</v>
      </c>
      <c r="I7" s="5">
        <v>6</v>
      </c>
      <c r="J7" s="5" t="s">
        <v>29</v>
      </c>
      <c r="K7" s="10">
        <v>3000000</v>
      </c>
      <c r="L7" s="9">
        <v>150000</v>
      </c>
      <c r="M7" s="9">
        <f t="shared" si="0"/>
        <v>2850000</v>
      </c>
    </row>
    <row r="8" spans="1:13">
      <c r="A8" s="5">
        <v>1007</v>
      </c>
      <c r="B8" s="3">
        <v>46029</v>
      </c>
      <c r="C8" s="4" t="s">
        <v>15</v>
      </c>
      <c r="D8" s="4" t="s">
        <v>16</v>
      </c>
      <c r="E8" s="4" t="s">
        <v>12</v>
      </c>
      <c r="F8" s="4" t="s">
        <v>13</v>
      </c>
      <c r="G8" s="5">
        <v>250000</v>
      </c>
      <c r="H8" s="6">
        <v>0.1</v>
      </c>
      <c r="I8" s="5">
        <v>8</v>
      </c>
      <c r="J8" s="5" t="s">
        <v>30</v>
      </c>
      <c r="K8" s="10">
        <v>2000000</v>
      </c>
      <c r="L8" s="9">
        <v>200000</v>
      </c>
      <c r="M8" s="9">
        <f t="shared" si="0"/>
        <v>1800000</v>
      </c>
    </row>
    <row r="9" spans="1:13">
      <c r="A9" s="5">
        <v>1008</v>
      </c>
      <c r="B9" s="3">
        <v>46030</v>
      </c>
      <c r="C9" s="4" t="s">
        <v>10</v>
      </c>
      <c r="D9" s="4" t="s">
        <v>11</v>
      </c>
      <c r="E9" s="4" t="s">
        <v>28</v>
      </c>
      <c r="F9" s="4" t="s">
        <v>18</v>
      </c>
      <c r="G9" s="5">
        <v>8500000</v>
      </c>
      <c r="H9" s="6">
        <v>0.15</v>
      </c>
      <c r="I9" s="5">
        <v>1</v>
      </c>
      <c r="J9" s="5" t="s">
        <v>31</v>
      </c>
      <c r="K9" s="10">
        <v>8500000</v>
      </c>
      <c r="L9" s="9">
        <v>1275000</v>
      </c>
      <c r="M9" s="9">
        <f t="shared" si="0"/>
        <v>7225000</v>
      </c>
    </row>
    <row r="10" spans="1:13">
      <c r="A10" s="5">
        <v>1009</v>
      </c>
      <c r="B10" s="3">
        <v>46031</v>
      </c>
      <c r="C10" s="4" t="s">
        <v>23</v>
      </c>
      <c r="D10" s="4" t="s">
        <v>11</v>
      </c>
      <c r="E10" s="4" t="s">
        <v>17</v>
      </c>
      <c r="F10" s="4" t="s">
        <v>21</v>
      </c>
      <c r="G10" s="5">
        <v>3200000</v>
      </c>
      <c r="H10" s="6">
        <v>0.05</v>
      </c>
      <c r="I10" s="5">
        <v>3</v>
      </c>
      <c r="J10" s="5" t="s">
        <v>32</v>
      </c>
      <c r="K10" s="10">
        <v>9600000</v>
      </c>
      <c r="L10" s="9">
        <v>480000</v>
      </c>
      <c r="M10" s="9">
        <f t="shared" si="0"/>
        <v>9120000</v>
      </c>
    </row>
    <row r="11" spans="1:13">
      <c r="A11" s="5">
        <v>1010</v>
      </c>
      <c r="B11" s="3">
        <v>46032</v>
      </c>
      <c r="C11" s="4" t="s">
        <v>20</v>
      </c>
      <c r="D11" s="4" t="s">
        <v>16</v>
      </c>
      <c r="E11" s="4" t="s">
        <v>24</v>
      </c>
      <c r="F11" s="4" t="s">
        <v>13</v>
      </c>
      <c r="G11" s="5">
        <v>750000</v>
      </c>
      <c r="H11" s="6">
        <v>0.1</v>
      </c>
      <c r="I11" s="5">
        <v>7</v>
      </c>
      <c r="J11" s="5" t="s">
        <v>33</v>
      </c>
      <c r="K11" s="10">
        <v>5250000</v>
      </c>
      <c r="L11" s="9">
        <v>525000</v>
      </c>
      <c r="M11" s="9">
        <f t="shared" si="0"/>
        <v>4725000</v>
      </c>
    </row>
    <row r="13" spans="1:13">
      <c r="B13" t="s">
        <v>34</v>
      </c>
      <c r="E13">
        <f>SUM(I2:I11)</f>
        <v>41</v>
      </c>
      <c r="H13" s="12"/>
      <c r="I13" t="s">
        <v>47</v>
      </c>
      <c r="M13" s="8">
        <f>SUM(M2:M11)</f>
        <v>77080000</v>
      </c>
    </row>
    <row r="14" spans="1:13">
      <c r="B14" t="s">
        <v>35</v>
      </c>
      <c r="E14">
        <f>AVERAGE(I2:I11)</f>
        <v>4.0999999999999996</v>
      </c>
      <c r="I14" t="s">
        <v>48</v>
      </c>
      <c r="M14" s="8">
        <f>AVERAGE(M2:M11)</f>
        <v>7708000</v>
      </c>
    </row>
    <row r="15" spans="1:13">
      <c r="B15" t="s">
        <v>36</v>
      </c>
      <c r="E15">
        <f>COUNT(I2:I11)</f>
        <v>10</v>
      </c>
      <c r="I15" t="s">
        <v>49</v>
      </c>
      <c r="M15">
        <f>SUMIF(D2:D11, "Elektronik", M2:M11)</f>
        <v>64605000</v>
      </c>
    </row>
    <row r="16" spans="1:13">
      <c r="B16" t="s">
        <v>37</v>
      </c>
      <c r="E16">
        <f>COUNTIF(E2:E11, "Bandung")</f>
        <v>3</v>
      </c>
      <c r="I16" t="s">
        <v>50</v>
      </c>
      <c r="M16">
        <f>SUMIF(E2:E11, "Bandung", M2:M11)</f>
        <v>19012500</v>
      </c>
    </row>
    <row r="17" spans="2:14">
      <c r="B17" t="s">
        <v>38</v>
      </c>
      <c r="E17">
        <f>COUNTIF(J2:J11, "&gt;=4.5")</f>
        <v>5</v>
      </c>
      <c r="I17" t="s">
        <v>51</v>
      </c>
      <c r="M17">
        <f>COUNTIF(H2:H11, "&gt;=10%")</f>
        <v>7</v>
      </c>
    </row>
    <row r="18" spans="2:14">
      <c r="B18" t="s">
        <v>39</v>
      </c>
      <c r="E18">
        <f>SUMIF(E2:E11, "Bandung", I2:I11)</f>
        <v>13</v>
      </c>
      <c r="I18" t="s">
        <v>52</v>
      </c>
      <c r="N18">
        <f>COUNTIFS(J2:J11, "&gt;=4.5", I2:I11, "&gt;=4")</f>
        <v>2</v>
      </c>
    </row>
    <row r="19" spans="2:14">
      <c r="B19" t="s">
        <v>40</v>
      </c>
      <c r="E19">
        <f>SUMIF(F2:F11, "Andi", I2:I11)</f>
        <v>19</v>
      </c>
    </row>
    <row r="20" spans="2:14">
      <c r="B20" t="s">
        <v>41</v>
      </c>
      <c r="E20">
        <f>SUM(G2:G11)</f>
        <v>34400000</v>
      </c>
    </row>
    <row r="21" spans="2:14">
      <c r="B21" t="s">
        <v>42</v>
      </c>
      <c r="E21">
        <f>AVERAGE(G2:G11)</f>
        <v>3440000</v>
      </c>
    </row>
    <row r="22" spans="2:14">
      <c r="B22" t="s">
        <v>43</v>
      </c>
      <c r="E22">
        <f>SUMIF(D2:D11, "Elektronik", I2:I11)</f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Fungsi matematika &amp; statistik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Tambunan</dc:creator>
  <cp:lastModifiedBy>Samuel Tambunan</cp:lastModifiedBy>
  <dcterms:created xsi:type="dcterms:W3CDTF">2026-08-17T12:49:36Z</dcterms:created>
  <dcterms:modified xsi:type="dcterms:W3CDTF">2026-08-18T08:06:09Z</dcterms:modified>
</cp:coreProperties>
</file>