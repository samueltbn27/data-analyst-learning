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 Tambunan\Documents\DATA ANALYST LEARNING\EXCEL\"/>
    </mc:Choice>
  </mc:AlternateContent>
  <xr:revisionPtr revIDLastSave="0" documentId="13_ncr:1_{9DB6AAF2-57C4-402A-9F46-1BF360D6AC3B}" xr6:coauthVersionLast="47" xr6:coauthVersionMax="47" xr10:uidLastSave="{00000000-0000-0000-0000-000000000000}"/>
  <bookViews>
    <workbookView xWindow="-110" yWindow="-110" windowWidth="19420" windowHeight="10300" firstSheet="1" activeTab="3" xr2:uid="{4BCC91FC-A7DC-4952-B43D-55B4D8EAA6A1}"/>
  </bookViews>
  <sheets>
    <sheet name="Mathematical &amp; statistical func" sheetId="1" r:id="rId1"/>
    <sheet name="Logical function" sheetId="2" r:id="rId2"/>
    <sheet name="Function of the text" sheetId="3" r:id="rId3"/>
    <sheet name="Date &amp; time fun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" i="4" l="1"/>
  <c r="K29" i="4" a="1"/>
  <c r="K29" i="4" s="1"/>
  <c r="O30" i="4"/>
  <c r="O31" i="4"/>
  <c r="O32" i="4"/>
  <c r="O33" i="4"/>
  <c r="L29" i="4"/>
  <c r="N30" i="4" a="1"/>
  <c r="N30" i="4" s="1"/>
  <c r="N31" i="4" a="1"/>
  <c r="N31" i="4" s="1"/>
  <c r="N32" i="4" a="1"/>
  <c r="N32" i="4" s="1"/>
  <c r="N33" i="4" a="1"/>
  <c r="N33" i="4" s="1"/>
  <c r="N29" i="4" a="1"/>
  <c r="N29" i="4" s="1"/>
  <c r="M2" i="4" a="1"/>
  <c r="M2" i="4" s="1"/>
  <c r="P2" i="4"/>
  <c r="M30" i="4"/>
  <c r="M31" i="4"/>
  <c r="M32" i="4"/>
  <c r="M33" i="4"/>
  <c r="M29" i="4"/>
  <c r="L30" i="4"/>
  <c r="L31" i="4"/>
  <c r="L32" i="4"/>
  <c r="L33" i="4"/>
  <c r="K33" i="4" a="1"/>
  <c r="K33" i="4" s="1"/>
  <c r="K30" i="4" a="1"/>
  <c r="K30" i="4" s="1"/>
  <c r="K31" i="4" a="1"/>
  <c r="K31" i="4" s="1"/>
  <c r="K32" i="4" a="1"/>
  <c r="K32" i="4" s="1"/>
  <c r="G30" i="4"/>
  <c r="G31" i="4"/>
  <c r="G32" i="4"/>
  <c r="G33" i="4"/>
  <c r="G29" i="4"/>
  <c r="J30" i="4"/>
  <c r="J31" i="4"/>
  <c r="J32" i="4"/>
  <c r="J33" i="4"/>
  <c r="J29" i="4"/>
  <c r="I29" i="4"/>
  <c r="I30" i="4"/>
  <c r="I31" i="4"/>
  <c r="I32" i="4"/>
  <c r="I33" i="4"/>
  <c r="H30" i="4"/>
  <c r="H31" i="4"/>
  <c r="H32" i="4"/>
  <c r="H33" i="4"/>
  <c r="H29" i="4"/>
  <c r="I2" i="4"/>
  <c r="L2" i="4"/>
  <c r="K2" i="4"/>
  <c r="H2" i="4"/>
  <c r="N2" i="4"/>
  <c r="N3" i="4"/>
  <c r="N4" i="4"/>
  <c r="N5" i="4"/>
  <c r="N6" i="4"/>
  <c r="O5" i="4"/>
  <c r="P5" i="4" s="1"/>
  <c r="O6" i="4"/>
  <c r="P6" i="4" s="1"/>
  <c r="H3" i="4"/>
  <c r="M3" i="4" s="1" a="1"/>
  <c r="M3" i="4" s="1"/>
  <c r="M2" i="2" a="1"/>
  <c r="M2" i="2" s="1"/>
  <c r="P2" i="2" s="1" a="1"/>
  <c r="P2" i="2" s="1"/>
  <c r="M3" i="2" a="1"/>
  <c r="M3" i="2" s="1"/>
  <c r="P3" i="2" s="1" a="1"/>
  <c r="P3" i="2" s="1"/>
  <c r="I4" i="3"/>
  <c r="L3" i="4"/>
  <c r="L4" i="4"/>
  <c r="L5" i="4"/>
  <c r="L6" i="4"/>
  <c r="K3" i="4"/>
  <c r="K4" i="4"/>
  <c r="K5" i="4"/>
  <c r="K6" i="4"/>
  <c r="I3" i="4"/>
  <c r="I4" i="4"/>
  <c r="I5" i="4"/>
  <c r="I6" i="4"/>
  <c r="H4" i="4"/>
  <c r="M4" i="4" s="1" a="1"/>
  <c r="M4" i="4" s="1"/>
  <c r="H5" i="4"/>
  <c r="M5" i="4" s="1" a="1"/>
  <c r="M5" i="4" s="1"/>
  <c r="H6" i="4"/>
  <c r="M6" i="4" s="1" a="1"/>
  <c r="M6" i="4" s="1"/>
  <c r="B1" i="3"/>
  <c r="I13" i="3"/>
  <c r="I14" i="3"/>
  <c r="I15" i="3"/>
  <c r="I16" i="3"/>
  <c r="I17" i="3"/>
  <c r="I12" i="3"/>
  <c r="K2" i="3"/>
  <c r="M2" i="3"/>
  <c r="L2" i="3"/>
  <c r="H13" i="3"/>
  <c r="H14" i="3"/>
  <c r="H15" i="3"/>
  <c r="H16" i="3"/>
  <c r="H17" i="3"/>
  <c r="H12" i="3"/>
  <c r="G12" i="3"/>
  <c r="G13" i="3"/>
  <c r="G14" i="3"/>
  <c r="G15" i="3"/>
  <c r="G16" i="3"/>
  <c r="G17" i="3"/>
  <c r="L3" i="3"/>
  <c r="J2" i="3"/>
  <c r="F12" i="3" a="1"/>
  <c r="F12" i="3" s="1"/>
  <c r="M3" i="3"/>
  <c r="M4" i="3"/>
  <c r="M5" i="3"/>
  <c r="M6" i="3"/>
  <c r="M7" i="3"/>
  <c r="M8" i="3"/>
  <c r="M9" i="3"/>
  <c r="H2" i="3" a="1"/>
  <c r="H2" i="3" s="1"/>
  <c r="I2" i="3"/>
  <c r="L4" i="3"/>
  <c r="L5" i="3"/>
  <c r="L6" i="3"/>
  <c r="L7" i="3"/>
  <c r="L8" i="3"/>
  <c r="L9" i="3"/>
  <c r="K3" i="3"/>
  <c r="K4" i="3"/>
  <c r="K5" i="3"/>
  <c r="K6" i="3"/>
  <c r="K7" i="3"/>
  <c r="K8" i="3"/>
  <c r="K9" i="3"/>
  <c r="G2" i="3"/>
  <c r="J3" i="3"/>
  <c r="J4" i="3"/>
  <c r="J5" i="3"/>
  <c r="J6" i="3"/>
  <c r="J7" i="3"/>
  <c r="J8" i="3"/>
  <c r="J9" i="3"/>
  <c r="I3" i="3"/>
  <c r="I5" i="3"/>
  <c r="I6" i="3"/>
  <c r="I7" i="3"/>
  <c r="I8" i="3"/>
  <c r="I9" i="3"/>
  <c r="G3" i="3"/>
  <c r="G4" i="3"/>
  <c r="G5" i="3"/>
  <c r="G6" i="3"/>
  <c r="G7" i="3"/>
  <c r="G8" i="3"/>
  <c r="G9" i="3"/>
  <c r="O46" i="2" a="1"/>
  <c r="O46" i="2" s="1"/>
  <c r="O47" i="2" a="1"/>
  <c r="O47" i="2" s="1"/>
  <c r="O48" i="2" a="1"/>
  <c r="O48" i="2" s="1"/>
  <c r="O49" i="2" a="1"/>
  <c r="O49" i="2"/>
  <c r="O50" i="2" a="1"/>
  <c r="O50" i="2"/>
  <c r="O51" i="2" a="1"/>
  <c r="O51" i="2" s="1"/>
  <c r="O52" i="2" a="1"/>
  <c r="O52" i="2"/>
  <c r="O53" i="2" a="1"/>
  <c r="O53" i="2"/>
  <c r="O54" i="2" a="1"/>
  <c r="O54" i="2"/>
  <c r="O55" i="2" a="1"/>
  <c r="O55" i="2" s="1"/>
  <c r="N47" i="2"/>
  <c r="N48" i="2"/>
  <c r="N49" i="2"/>
  <c r="N50" i="2"/>
  <c r="N51" i="2"/>
  <c r="N52" i="2"/>
  <c r="N53" i="2"/>
  <c r="N54" i="2"/>
  <c r="N55" i="2"/>
  <c r="N46" i="2"/>
  <c r="O2" i="2"/>
  <c r="M47" i="2" a="1"/>
  <c r="M47" i="2" s="1"/>
  <c r="M48" i="2" a="1"/>
  <c r="M48" i="2" s="1"/>
  <c r="M49" i="2" a="1"/>
  <c r="M49" i="2" s="1"/>
  <c r="M50" i="2" a="1"/>
  <c r="M50" i="2"/>
  <c r="M51" i="2" a="1"/>
  <c r="M51" i="2" s="1"/>
  <c r="M52" i="2" a="1"/>
  <c r="M52" i="2" s="1"/>
  <c r="M53" i="2" a="1"/>
  <c r="M53" i="2" s="1"/>
  <c r="M54" i="2" a="1"/>
  <c r="M54" i="2"/>
  <c r="M55" i="2" a="1"/>
  <c r="M55" i="2" s="1"/>
  <c r="L47" i="2" a="1"/>
  <c r="L47" i="2" s="1"/>
  <c r="L48" i="2" a="1"/>
  <c r="L48" i="2" s="1"/>
  <c r="L49" i="2" a="1"/>
  <c r="L49" i="2"/>
  <c r="L50" i="2" a="1"/>
  <c r="L50" i="2"/>
  <c r="L51" i="2" a="1"/>
  <c r="L51" i="2" s="1"/>
  <c r="L52" i="2" a="1"/>
  <c r="L52" i="2" s="1"/>
  <c r="L53" i="2" a="1"/>
  <c r="L53" i="2"/>
  <c r="L54" i="2" a="1"/>
  <c r="L54" i="2"/>
  <c r="L55" i="2" a="1"/>
  <c r="L55" i="2" s="1"/>
  <c r="M46" i="2" a="1"/>
  <c r="M46" i="2" s="1"/>
  <c r="L46" i="2" a="1"/>
  <c r="L46" i="2" s="1"/>
  <c r="N2" i="2" a="1"/>
  <c r="N2" i="2" s="1"/>
  <c r="K46" i="2"/>
  <c r="K47" i="2"/>
  <c r="K48" i="2"/>
  <c r="K49" i="2"/>
  <c r="K50" i="2"/>
  <c r="K51" i="2"/>
  <c r="K52" i="2"/>
  <c r="K53" i="2"/>
  <c r="K54" i="2"/>
  <c r="K55" i="2"/>
  <c r="J46" i="2"/>
  <c r="J47" i="2"/>
  <c r="J48" i="2"/>
  <c r="J49" i="2"/>
  <c r="J50" i="2"/>
  <c r="J51" i="2"/>
  <c r="J52" i="2"/>
  <c r="J53" i="2"/>
  <c r="J54" i="2"/>
  <c r="J55" i="2"/>
  <c r="K3" i="2"/>
  <c r="L16" i="2" a="1"/>
  <c r="L16" i="2" s="1"/>
  <c r="K16" i="2"/>
  <c r="J16" i="2"/>
  <c r="N17" i="2"/>
  <c r="N18" i="2"/>
  <c r="N19" i="2"/>
  <c r="N20" i="2"/>
  <c r="N21" i="2"/>
  <c r="N22" i="2"/>
  <c r="N23" i="2"/>
  <c r="N24" i="2"/>
  <c r="N25" i="2"/>
  <c r="N26" i="2"/>
  <c r="N27" i="2"/>
  <c r="N16" i="2"/>
  <c r="M17" i="2" a="1"/>
  <c r="M17" i="2" s="1"/>
  <c r="M18" i="2" a="1"/>
  <c r="M18" i="2" s="1"/>
  <c r="M19" i="2" a="1"/>
  <c r="M19" i="2" s="1"/>
  <c r="M20" i="2" a="1"/>
  <c r="M20" i="2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16" i="2" a="1"/>
  <c r="M16" i="2" s="1"/>
  <c r="L17" i="2" a="1"/>
  <c r="L17" i="2" s="1"/>
  <c r="L18" i="2" a="1"/>
  <c r="L18" i="2" s="1"/>
  <c r="L19" i="2" a="1"/>
  <c r="L19" i="2" s="1"/>
  <c r="L20" i="2" a="1"/>
  <c r="L20" i="2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K17" i="2"/>
  <c r="K18" i="2"/>
  <c r="K19" i="2"/>
  <c r="K20" i="2"/>
  <c r="K21" i="2"/>
  <c r="K22" i="2"/>
  <c r="K23" i="2"/>
  <c r="K24" i="2"/>
  <c r="K25" i="2"/>
  <c r="K26" i="2"/>
  <c r="K27" i="2"/>
  <c r="L2" i="2"/>
  <c r="J17" i="2"/>
  <c r="J18" i="2"/>
  <c r="J19" i="2"/>
  <c r="J20" i="2"/>
  <c r="J21" i="2"/>
  <c r="J22" i="2"/>
  <c r="J23" i="2"/>
  <c r="J24" i="2"/>
  <c r="J25" i="2"/>
  <c r="J26" i="2"/>
  <c r="J27" i="2"/>
  <c r="K2" i="2"/>
  <c r="P4" i="2" a="1"/>
  <c r="P4" i="2" s="1"/>
  <c r="P8" i="2" a="1"/>
  <c r="P8" i="2"/>
  <c r="P9" i="2" a="1"/>
  <c r="P9" i="2"/>
  <c r="P10" i="2" a="1"/>
  <c r="P10" i="2" s="1"/>
  <c r="P11" i="2" a="1"/>
  <c r="P11" i="2"/>
  <c r="O3" i="2"/>
  <c r="O4" i="2"/>
  <c r="O5" i="2"/>
  <c r="O6" i="2"/>
  <c r="O7" i="2"/>
  <c r="O8" i="2"/>
  <c r="O9" i="2"/>
  <c r="O10" i="2"/>
  <c r="O11" i="2"/>
  <c r="O12" i="2"/>
  <c r="O13" i="2"/>
  <c r="N3" i="2" a="1"/>
  <c r="N3" i="2" s="1"/>
  <c r="N4" i="2" a="1"/>
  <c r="N4" i="2" s="1"/>
  <c r="N5" i="2" a="1"/>
  <c r="N5" i="2" s="1"/>
  <c r="N6" i="2" a="1"/>
  <c r="N6" i="2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M4" i="2" a="1"/>
  <c r="M4" i="2" s="1"/>
  <c r="M5" i="2" a="1"/>
  <c r="M5" i="2" s="1"/>
  <c r="P5" i="2" s="1" a="1"/>
  <c r="P5" i="2" s="1"/>
  <c r="M6" i="2" a="1"/>
  <c r="M6" i="2" s="1"/>
  <c r="P6" i="2" s="1" a="1"/>
  <c r="P6" i="2" s="1"/>
  <c r="M7" i="2" a="1"/>
  <c r="M7" i="2" s="1"/>
  <c r="P7" i="2" s="1" a="1"/>
  <c r="P7" i="2" s="1"/>
  <c r="M8" i="2" a="1"/>
  <c r="M8" i="2" s="1"/>
  <c r="M9" i="2" a="1"/>
  <c r="M9" i="2" s="1"/>
  <c r="M10" i="2" a="1"/>
  <c r="M10" i="2"/>
  <c r="M11" i="2" a="1"/>
  <c r="M11" i="2" s="1"/>
  <c r="M12" i="2" a="1"/>
  <c r="M12" i="2" s="1"/>
  <c r="P12" i="2" s="1" a="1"/>
  <c r="P12" i="2" s="1"/>
  <c r="M13" i="2" a="1"/>
  <c r="M13" i="2" s="1"/>
  <c r="P13" i="2" s="1" a="1"/>
  <c r="P13" i="2" s="1"/>
  <c r="L3" i="2"/>
  <c r="L4" i="2"/>
  <c r="L5" i="2"/>
  <c r="L6" i="2"/>
  <c r="L7" i="2"/>
  <c r="L8" i="2"/>
  <c r="L9" i="2"/>
  <c r="L10" i="2"/>
  <c r="L11" i="2"/>
  <c r="L12" i="2"/>
  <c r="L13" i="2"/>
  <c r="K4" i="2"/>
  <c r="K5" i="2"/>
  <c r="K6" i="2"/>
  <c r="K7" i="2"/>
  <c r="K8" i="2"/>
  <c r="K9" i="2"/>
  <c r="K10" i="2"/>
  <c r="K11" i="2"/>
  <c r="K12" i="2"/>
  <c r="K13" i="2"/>
  <c r="I37" i="1"/>
  <c r="I35" i="1"/>
  <c r="I29" i="1"/>
  <c r="E14" i="1"/>
  <c r="I27" i="1"/>
  <c r="N18" i="1"/>
  <c r="M17" i="1"/>
  <c r="K2" i="1" a="1"/>
  <c r="K2" i="1" s="1"/>
  <c r="L2" i="1" s="1" a="1"/>
  <c r="L2" i="1" s="1"/>
  <c r="M2" i="1" s="1"/>
  <c r="E20" i="1"/>
  <c r="E17" i="1"/>
  <c r="E22" i="1"/>
  <c r="E21" i="1"/>
  <c r="E19" i="1"/>
  <c r="E18" i="1"/>
  <c r="E16" i="1"/>
  <c r="E15" i="1"/>
  <c r="E13" i="1"/>
  <c r="O4" i="4" l="1"/>
  <c r="P4" i="4" s="1"/>
  <c r="O3" i="4"/>
  <c r="P3" i="4" s="1"/>
  <c r="O2" i="4"/>
  <c r="M6" i="1"/>
  <c r="M5" i="1"/>
  <c r="I21" i="1" s="1"/>
  <c r="M11" i="1"/>
  <c r="M3" i="1"/>
  <c r="M14" i="1" s="1"/>
  <c r="M9" i="1"/>
  <c r="M4" i="1"/>
  <c r="M10" i="1"/>
  <c r="M8" i="1"/>
  <c r="M7" i="1"/>
  <c r="M15" i="1"/>
  <c r="I33" i="1" l="1"/>
  <c r="I25" i="1"/>
  <c r="M13" i="1"/>
  <c r="I31" i="1"/>
  <c r="M16" i="1"/>
  <c r="I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<sst xmlns="http://schemas.openxmlformats.org/spreadsheetml/2006/main" count="397" uniqueCount="271">
  <si>
    <t>ID</t>
  </si>
  <si>
    <t>Tanggal</t>
  </si>
  <si>
    <t>Produk</t>
  </si>
  <si>
    <t>Kategori</t>
  </si>
  <si>
    <t>Kota</t>
  </si>
  <si>
    <t>Sales</t>
  </si>
  <si>
    <t>Harga</t>
  </si>
  <si>
    <t>Diskon</t>
  </si>
  <si>
    <t>Jumlah</t>
  </si>
  <si>
    <t>Rating</t>
  </si>
  <si>
    <t>Laptop A</t>
  </si>
  <si>
    <t>Elektronik</t>
  </si>
  <si>
    <t>Bandung</t>
  </si>
  <si>
    <t>Andi</t>
  </si>
  <si>
    <t>Mouse B</t>
  </si>
  <si>
    <t>Aksesoris</t>
  </si>
  <si>
    <t>Jakarta</t>
  </si>
  <si>
    <t>Budi</t>
  </si>
  <si>
    <t>Keyboard C</t>
  </si>
  <si>
    <t>Citra</t>
  </si>
  <si>
    <t>Monitor D</t>
  </si>
  <si>
    <t>Bekasi</t>
  </si>
  <si>
    <t>Headset E</t>
  </si>
  <si>
    <t>Bogor</t>
  </si>
  <si>
    <t>1. Total barang terjual</t>
  </si>
  <si>
    <t>2. Rata-rata jumlah barang per transaksi</t>
  </si>
  <si>
    <t>3. Jumlah transaksi</t>
  </si>
  <si>
    <t>4. Jumlah transaksi di Bandung</t>
  </si>
  <si>
    <t>5. Jumlah transaksi dengan Rating minimal 4,5</t>
  </si>
  <si>
    <t>6. Total barang yang terjual di Bandung</t>
  </si>
  <si>
    <t>7. Total barang yang dijual oleh Andi</t>
  </si>
  <si>
    <t>8. Total harga seluruh transaksi</t>
  </si>
  <si>
    <t xml:space="preserve">9. Rata-rata harga produk </t>
  </si>
  <si>
    <t>10. Total barang kategori Elektronik</t>
  </si>
  <si>
    <t>Total Sebelum Diskon</t>
  </si>
  <si>
    <t>Nilai Diskon</t>
  </si>
  <si>
    <t>Total Penjualan</t>
  </si>
  <si>
    <t>4. Hitung total seluruh penjualan setelah diskon</t>
  </si>
  <si>
    <t>5. Hitung rata-rata nilai penjualan per transaksi</t>
  </si>
  <si>
    <t>6. Cari total penjualan yang berasal dari kategori Elektronik</t>
  </si>
  <si>
    <t>7. Cari total penjualan yang berasal dari kota Bandung</t>
  </si>
  <si>
    <t>8. Hitung jumlah transaksi yang memiliki Diskon &gt;= 10%</t>
  </si>
  <si>
    <t>9. Hitung jumlah transaksi yang memiliki Rating &gt;= 4,5 dan Jumlah &gt;= 4</t>
  </si>
  <si>
    <t>SUM</t>
  </si>
  <si>
    <t>AVERAGE</t>
  </si>
  <si>
    <t>COUNT</t>
  </si>
  <si>
    <t>COUNTIF</t>
  </si>
  <si>
    <t>SUMIF</t>
  </si>
  <si>
    <t>1. Hitung total Total Penjualan setelah diskon yang dihasilkan oleh Andi</t>
  </si>
  <si>
    <t>2. Hitung total Total Penjualan setelah diskon yang dihasilkan oleh Budi</t>
  </si>
  <si>
    <t>3. Hitung total Total Penjualan setelah diskon yang dihasilkan oleh Citra</t>
  </si>
  <si>
    <t>4. Hitung rata-rata Rating untuk seluruh transaksi</t>
  </si>
  <si>
    <t>5. Hitung jumlah transaksi dengan Rating &lt; 4,5</t>
  </si>
  <si>
    <t>6. Hitung total Total Penjualan setelah diskon untuk transaksi yang memiliki Rating &gt;= 4,5</t>
  </si>
  <si>
    <t>7. Hitung total Total Penjualan setelah diskon untuk transaksi dengan Diskon &gt;= 15%</t>
  </si>
  <si>
    <t>8. Hitung jumlah transaksi kategori Elektronik dengan Rating &gt;= 4,5</t>
  </si>
  <si>
    <t xml:space="preserve"> </t>
  </si>
  <si>
    <t>9. Hitung total Total Penjualan setelah diskon untuk : Sales = Andi DAN Rating &gt;= 4,5</t>
  </si>
  <si>
    <t>10. Sales mana yang memiliki total penjualan terbesar?</t>
  </si>
  <si>
    <t>Divisi</t>
  </si>
  <si>
    <t>Omzet</t>
  </si>
  <si>
    <t>Target</t>
  </si>
  <si>
    <t>Komplain</t>
  </si>
  <si>
    <t>Hari Pengiriman</t>
  </si>
  <si>
    <t>Retail</t>
  </si>
  <si>
    <t>Laptop</t>
  </si>
  <si>
    <t>Monitor</t>
  </si>
  <si>
    <t>Corporate</t>
  </si>
  <si>
    <t>Deni</t>
  </si>
  <si>
    <t>Keyboard</t>
  </si>
  <si>
    <t>Eka</t>
  </si>
  <si>
    <t>Server</t>
  </si>
  <si>
    <t>Fajar</t>
  </si>
  <si>
    <t>Mouse</t>
  </si>
  <si>
    <t>Gita</t>
  </si>
  <si>
    <t>Hadi</t>
  </si>
  <si>
    <t>Intan</t>
  </si>
  <si>
    <t>Joko</t>
  </si>
  <si>
    <t>Karin</t>
  </si>
  <si>
    <t>Leo</t>
  </si>
  <si>
    <t>Pencapaian Sales IF + AND</t>
  </si>
  <si>
    <t>Review IF + OR</t>
  </si>
  <si>
    <t>Persentase Pencapaian Target IFS</t>
  </si>
  <si>
    <t xml:space="preserve">Risiko Transaksi IFS + AND </t>
  </si>
  <si>
    <t>Bonus Sales IF + AND + OR</t>
  </si>
  <si>
    <t>Nilai Insentif IFERROR</t>
  </si>
  <si>
    <t>Customer</t>
  </si>
  <si>
    <t>Segmen</t>
  </si>
  <si>
    <t>Total Belanja</t>
  </si>
  <si>
    <t>Target Belanja</t>
  </si>
  <si>
    <t>Frekuensi Transaksi</t>
  </si>
  <si>
    <t>Hari Sejak Transaksi</t>
  </si>
  <si>
    <t>Alpha Corp</t>
  </si>
  <si>
    <t>Beta Store</t>
  </si>
  <si>
    <t>Citra Group</t>
  </si>
  <si>
    <t>Delta Mart</t>
  </si>
  <si>
    <t>Eka Industri</t>
  </si>
  <si>
    <t>Fajar Shop</t>
  </si>
  <si>
    <t>Gita Tech</t>
  </si>
  <si>
    <t>Hadi Store</t>
  </si>
  <si>
    <t>Intan Corp</t>
  </si>
  <si>
    <t>Jaya Mart</t>
  </si>
  <si>
    <t>Karin Group</t>
  </si>
  <si>
    <t>Leo Store</t>
  </si>
  <si>
    <t>Status Customer</t>
  </si>
  <si>
    <t>Customer Perlu Dihubungi?</t>
  </si>
  <si>
    <t>Customer Tier</t>
  </si>
  <si>
    <t>Customer Risk</t>
  </si>
  <si>
    <t>Loyalty Bonus</t>
  </si>
  <si>
    <t>Rumus Rumus :</t>
  </si>
  <si>
    <t>1. IF + AND</t>
  </si>
  <si>
    <t>2. IF + OR</t>
  </si>
  <si>
    <t>3.IFS + AND</t>
  </si>
  <si>
    <t>IFS(AND(B2&gt;=90; C2&gt;=90%); "A"; AND(B2&gt;=80; C2&gt;=80%); "B"; AND(B2&gt;=70; C2&gt;=70%); "C"; TRUE; "D")</t>
  </si>
  <si>
    <t>IF(OR(B2&lt;75,C2&lt;80%),"PERLU EVALUASI","AMAN")</t>
  </si>
  <si>
    <t>IF(AND(B2&gt;=75,C2&gt;=80%),"LULUS","TIDAK LULUS")</t>
  </si>
  <si>
    <t>4.IFS + AND + OR</t>
  </si>
  <si>
    <t>IFS(OR(AND(B2&gt;=C2; D2&gt;=4.5); B2&gt;=C2*120%); "VIP"; AND(B2&gt;=C2; D2&gt;=4); "REGULAR"; TRUE; "LOW")</t>
  </si>
  <si>
    <t>5. IFERROR</t>
  </si>
  <si>
    <t>IFERROR(B2/C2,0)</t>
  </si>
  <si>
    <t>IFS(AND(B2&gt;=80; C2&gt;=80%); "A"; AND(B2&gt;=70; C2&gt;=70%); "B"; TRUE; "C")</t>
  </si>
  <si>
    <t>(A DAN B) ATAU C</t>
  </si>
  <si>
    <t>(A ATAU B) DAN C</t>
  </si>
  <si>
    <t>Transaksi</t>
  </si>
  <si>
    <t>Hari Aktif</t>
  </si>
  <si>
    <t>Performance Status</t>
  </si>
  <si>
    <t>Warning Status</t>
  </si>
  <si>
    <t>Performance Grade</t>
  </si>
  <si>
    <t>Risk Level</t>
  </si>
  <si>
    <t>Incentive</t>
  </si>
  <si>
    <t>Final Classification</t>
  </si>
  <si>
    <t>ID Customer</t>
  </si>
  <si>
    <t>Nama Customer</t>
  </si>
  <si>
    <t>Kode Customer</t>
  </si>
  <si>
    <t>Email</t>
  </si>
  <si>
    <t>Kode Transaksi</t>
  </si>
  <si>
    <t>CUST-24001</t>
  </si>
  <si>
    <t>Budi Santoso</t>
  </si>
  <si>
    <t>JKT-REG-00125</t>
  </si>
  <si>
    <t>budi.santoso@gmail.com</t>
  </si>
  <si>
    <t>TRX-2026-08-000125</t>
  </si>
  <si>
    <t>CUST-24002</t>
  </si>
  <si>
    <t>Siti Rahmawati</t>
  </si>
  <si>
    <t>BDG-VIP-00341</t>
  </si>
  <si>
    <t>siti.rahmawati@gmail.com</t>
  </si>
  <si>
    <t>TRX-2026-08-000341</t>
  </si>
  <si>
    <t>CUST-24003</t>
  </si>
  <si>
    <t>Andi Wijaya</t>
  </si>
  <si>
    <t>SBY-REG-00782</t>
  </si>
  <si>
    <t>andi.wijaya@gmail.com</t>
  </si>
  <si>
    <t>Surabaya</t>
  </si>
  <si>
    <t>TRX-2026-08-000782</t>
  </si>
  <si>
    <t>CUST-24004</t>
  </si>
  <si>
    <t>Rina Marlina</t>
  </si>
  <si>
    <t>JKT-VIP-01246</t>
  </si>
  <si>
    <t>rina.marlina@gmail.com</t>
  </si>
  <si>
    <t>TRX-2026-08-001246</t>
  </si>
  <si>
    <t>CUST-24005</t>
  </si>
  <si>
    <t>Dewi Lestari</t>
  </si>
  <si>
    <t>BKS-REG-02031</t>
  </si>
  <si>
    <t>dewi.lestari@gmail.com</t>
  </si>
  <si>
    <t>TRX-2026-08-002031</t>
  </si>
  <si>
    <t>CUST-24006</t>
  </si>
  <si>
    <t>Fajar Nugroho</t>
  </si>
  <si>
    <t>TGR-VIP-03128</t>
  </si>
  <si>
    <t>fajar.nugroho@gmail.com</t>
  </si>
  <si>
    <t>Tangerang</t>
  </si>
  <si>
    <t>TRX-2026-08-003128</t>
  </si>
  <si>
    <t>CUST-24007</t>
  </si>
  <si>
    <t>Yoga Pratama</t>
  </si>
  <si>
    <t>JKT-REG-04567</t>
  </si>
  <si>
    <t>yoga.pratama@gmail.com</t>
  </si>
  <si>
    <t>TRX-2026-08-004567</t>
  </si>
  <si>
    <t>CUST-24008</t>
  </si>
  <si>
    <t>Nanda Putri</t>
  </si>
  <si>
    <t>BDG-VIP-05192</t>
  </si>
  <si>
    <t>nanda.putri@gmail.com</t>
  </si>
  <si>
    <t>TRX-2026-08-005192</t>
  </si>
  <si>
    <t>Nama Bersih</t>
  </si>
  <si>
    <t>Kode Cabang</t>
  </si>
  <si>
    <t>Tipe Customer</t>
  </si>
  <si>
    <t>Nomor Customer</t>
  </si>
  <si>
    <t>Customer Label</t>
  </si>
  <si>
    <t>Transaction Summary</t>
  </si>
  <si>
    <t>Customer Identifier</t>
  </si>
  <si>
    <t>Kode Member</t>
  </si>
  <si>
    <t>Kode Order</t>
  </si>
  <si>
    <t>Andi Saputra</t>
  </si>
  <si>
    <t>JKT-GOL-00821</t>
  </si>
  <si>
    <t>ORD-JKT-2026-00121</t>
  </si>
  <si>
    <t>Salsa Maharani</t>
  </si>
  <si>
    <t>BDG-SLV-01452</t>
  </si>
  <si>
    <t>ORD-BDG-2026-00452</t>
  </si>
  <si>
    <t>Riko Pratama</t>
  </si>
  <si>
    <t>SBY-GOL-02137</t>
  </si>
  <si>
    <t>ORD-SBY-2026-00737</t>
  </si>
  <si>
    <t>Dina Lestari</t>
  </si>
  <si>
    <t>JKT-PLT-03218</t>
  </si>
  <si>
    <t>ORD-JKT-2026-01218</t>
  </si>
  <si>
    <t>Fajar Hidayat</t>
  </si>
  <si>
    <t>BKS-SLV-04529</t>
  </si>
  <si>
    <t>ORD-BKS-2026-01529</t>
  </si>
  <si>
    <t>Nina Permata</t>
  </si>
  <si>
    <t>TGR-PLT-05184</t>
  </si>
  <si>
    <t>ORD-TGR-2026-02184</t>
  </si>
  <si>
    <t>Informasi Member</t>
  </si>
  <si>
    <t>Order Identifier</t>
  </si>
  <si>
    <t xml:space="preserve">Rumus </t>
  </si>
  <si>
    <t xml:space="preserve">1.TRIM </t>
  </si>
  <si>
    <t>Untuk membersihkan nama</t>
  </si>
  <si>
    <t>TRIM(B2)</t>
  </si>
  <si>
    <t>Untuk mengambil text posisi kiri</t>
  </si>
  <si>
    <t>LEFT(C2;3)</t>
  </si>
  <si>
    <t>3. MID</t>
  </si>
  <si>
    <t>2. LEFT</t>
  </si>
  <si>
    <t>Untuk mengambil text posisi tengah</t>
  </si>
  <si>
    <t>MID(C2;5;3)</t>
  </si>
  <si>
    <t>4. RIGHT</t>
  </si>
  <si>
    <t>Untuk mengambil text posisi kanan</t>
  </si>
  <si>
    <t>RIGHT(C2;5)</t>
  </si>
  <si>
    <t>5. CONCAT</t>
  </si>
  <si>
    <r>
      <t>Menggabungkan beberapa teks atau nilai menjadi sat</t>
    </r>
    <r>
      <rPr>
        <sz val="11"/>
        <color theme="1"/>
        <rFont val="Calibri"/>
        <family val="2"/>
        <scheme val="minor"/>
      </rPr>
      <t>.</t>
    </r>
  </si>
  <si>
    <t>CONCAT(A2;" - ";B2)</t>
  </si>
  <si>
    <t>6. TEXTJOIN</t>
  </si>
  <si>
    <t>Menggabungkan beberapa teks dengan pemisah tertentu</t>
  </si>
  <si>
    <t>TEXTJOIN(" - ";TRUE;A2;B2;C2)</t>
  </si>
  <si>
    <t>Nama</t>
  </si>
  <si>
    <t>Tgl Masuk</t>
  </si>
  <si>
    <t>Tgl Kontrak Awal</t>
  </si>
  <si>
    <t>Durasi Kontrak (Bulan)</t>
  </si>
  <si>
    <t>Tgl Selesai Proyek</t>
  </si>
  <si>
    <t>Hari Libur</t>
  </si>
  <si>
    <t>Tanggal Libur</t>
  </si>
  <si>
    <t>Tanggal Akhir Kontrak</t>
  </si>
  <si>
    <t>Masa Kerja</t>
  </si>
  <si>
    <t>Hari Kerja Proyek</t>
  </si>
  <si>
    <t>Status Kontrak</t>
  </si>
  <si>
    <t>Sisa Kontrak (Bulan)</t>
  </si>
  <si>
    <t>Tanggal Evaluasi</t>
  </si>
  <si>
    <t>Hari Kerja Menuju Evaluasi</t>
  </si>
  <si>
    <t>Rumus</t>
  </si>
  <si>
    <t>1. EDATE() -&gt; menambah atau mengurangi bulan dari suatu tanggal acuan secara presisi</t>
  </si>
  <si>
    <t>EDATE(tanggal_awal; jumlah_bulan) -&gt; Tanggal Kontrak Awal + Durasi Kontrak dalam bulan</t>
  </si>
  <si>
    <t>2. DATE() + DATEDIF() -&gt; ketika ingin menghitung selisih waktu dari/ke suatu tanggal spesifik yang dibuat secara manual atau dinamis di dalam rumus</t>
  </si>
  <si>
    <t>DATEDIF(C2;DATE(2026;12;31);"Y")&amp;" Tahun "&amp;DATEDIF(C2;DATE(2026;12;31);"YM")&amp;" Bulan "&amp;DATEDIF(C2;DATE(2026;12;31);"MD")&amp;" Hari"</t>
  </si>
  <si>
    <t>3. DATEDIF() -&gt; menghitung selisih atau jarak waktu antara dua tanggal</t>
  </si>
  <si>
    <t>DATEDIF(A2; B2; "M") &amp; " Bulan" -&gt; 01/02/2025 → 17/02/2026</t>
  </si>
  <si>
    <t>4. NETWORKDAYS() -&gt; menghitung jumlah hari kerja bersih/efektif di antara dua tanggal</t>
  </si>
  <si>
    <t>NETWORKDAYS(A2; B2) -&gt; Hitung Hari Kerja Standar</t>
  </si>
  <si>
    <t>NETWORKDAYS(A2; B2; E2) -&gt; Hitung Hari Kerja + Memotong Libur Nasional</t>
  </si>
  <si>
    <t>5. IF() + DATEDIF() -&gt; membuat keputusan logis otomatis berdasarkan selisih waktu atau umur</t>
  </si>
  <si>
    <t>IF(G2&lt;=DATE(2026;12;31);0;DATEDIF(DATE(2026;12;31);G2;"M"))</t>
  </si>
  <si>
    <t>6. IF() + TODAY() + NETWORKDAYS() -&gt; membuat status proyek/pekerjaan secara otomatis dan real-time berdasarkan sisa hari kerja sampai hari ini</t>
  </si>
  <si>
    <t>IF(M2&lt;TODAY();"Sudah Lewat";NETWORKDAYS(TODAY();M2;$S$2:$S$8))</t>
  </si>
  <si>
    <t>Vendor</t>
  </si>
  <si>
    <t>Tgl Mulai Kontrak</t>
  </si>
  <si>
    <t>Tgl Mulai Proyek</t>
  </si>
  <si>
    <t>V001</t>
  </si>
  <si>
    <t>Alpha Tech</t>
  </si>
  <si>
    <t>V002</t>
  </si>
  <si>
    <t>Beta Solusi</t>
  </si>
  <si>
    <t>V003</t>
  </si>
  <si>
    <t>Citra Digital</t>
  </si>
  <si>
    <t>V004</t>
  </si>
  <si>
    <t>Delta Sistem</t>
  </si>
  <si>
    <t>V005</t>
  </si>
  <si>
    <t>Epsilon Data</t>
  </si>
  <si>
    <t>Lama Kontrak</t>
  </si>
  <si>
    <t>Umur Proyek</t>
  </si>
  <si>
    <t>Sisa Kontrak</t>
  </si>
  <si>
    <t>Status Evaluasi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</si>
</sst>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43" fontId="0" fillId="0" borderId="0" xfId="1" applyFont="1"/>
    <xf numFmtId="0" fontId="0" fillId="0" borderId="1" xfId="0" applyBorder="1"/>
    <xf numFmtId="0" fontId="0" fillId="0" borderId="1" xfId="1" applyNumberFormat="1" applyFont="1" applyBorder="1"/>
    <xf numFmtId="0" fontId="3" fillId="2" borderId="1" xfId="0" applyFont="1" applyFill="1" applyBorder="1" applyAlignment="1">
      <alignment vertical="center"/>
    </xf>
    <xf numFmtId="9" fontId="0" fillId="0" borderId="0" xfId="0" applyNumberFormat="1" applyFill="1" applyBorder="1" applyAlignment="1">
      <alignment horizontal="right" vertical="center" wrapText="1"/>
    </xf>
    <xf numFmtId="0" fontId="1" fillId="0" borderId="0" xfId="0" applyFont="1"/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/>
    <xf numFmtId="0" fontId="4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3" xfId="0" applyFont="1" applyFill="1" applyBorder="1"/>
    <xf numFmtId="0" fontId="0" fillId="4" borderId="1" xfId="0" applyFont="1" applyFill="1" applyBorder="1"/>
    <xf numFmtId="0" fontId="0" fillId="0" borderId="1" xfId="0" applyFont="1" applyBorder="1"/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14" fontId="0" fillId="4" borderId="1" xfId="0" applyNumberFormat="1" applyFill="1" applyBorder="1"/>
    <xf numFmtId="0" fontId="0" fillId="0" borderId="0" xfId="0" applyBorder="1"/>
    <xf numFmtId="0" fontId="1" fillId="2" borderId="3" xfId="0" applyFont="1" applyFill="1" applyBorder="1" applyAlignment="1">
      <alignment horizontal="center" vertical="center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4" fontId="0" fillId="0" borderId="1" xfId="0" applyNumberFormat="1" applyBorder="1"/>
    <xf numFmtId="14" fontId="0" fillId="0" borderId="0" xfId="0" applyNumberForma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0495-D2E0-4A50-936C-959354022148}">
  <dimension ref="A1:P39"/>
  <sheetViews>
    <sheetView topLeftCell="B1" zoomScale="90" zoomScaleNormal="90" workbookViewId="0">
      <selection activeCell="J42" sqref="J42"/>
    </sheetView>
  </sheetViews>
  <sheetFormatPr defaultRowHeight="14.5"/>
  <cols>
    <col min="2" max="2" width="12.54296875" customWidth="1"/>
    <col min="3" max="3" width="15.90625" customWidth="1"/>
    <col min="4" max="4" width="13.7265625" customWidth="1"/>
    <col min="5" max="5" width="10.7265625" customWidth="1"/>
    <col min="6" max="7" width="9.81640625" customWidth="1"/>
    <col min="9" max="9" width="11.26953125" customWidth="1"/>
    <col min="10" max="10" width="11.90625" customWidth="1"/>
    <col min="11" max="11" width="16.54296875" customWidth="1"/>
    <col min="12" max="12" width="13.08984375" customWidth="1"/>
    <col min="13" max="13" width="14.54296875" bestFit="1" customWidth="1"/>
  </cols>
  <sheetData>
    <row r="1" spans="1:16" ht="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34</v>
      </c>
      <c r="L1" s="7" t="s">
        <v>35</v>
      </c>
      <c r="M1" s="11" t="s">
        <v>36</v>
      </c>
    </row>
    <row r="2" spans="1:16">
      <c r="A2" s="5">
        <v>1001</v>
      </c>
      <c r="B2" s="3">
        <v>46023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8500000</v>
      </c>
      <c r="H2" s="6">
        <v>0.1</v>
      </c>
      <c r="I2" s="5">
        <v>2</v>
      </c>
      <c r="J2" s="5">
        <v>4.5</v>
      </c>
      <c r="K2" s="10" cm="1">
        <f t="array" ref="K2:K11">G2:G11*I2:I11</f>
        <v>17000000</v>
      </c>
      <c r="L2" s="9" cm="1">
        <f t="array" ref="L2:L11" xml:space="preserve"> K2:K11 * H2:H11</f>
        <v>1700000</v>
      </c>
      <c r="M2" s="9">
        <f xml:space="preserve"> K2 - L2</f>
        <v>15300000</v>
      </c>
    </row>
    <row r="3" spans="1:16">
      <c r="A3" s="5">
        <v>1002</v>
      </c>
      <c r="B3" s="3">
        <v>46024</v>
      </c>
      <c r="C3" s="4" t="s">
        <v>14</v>
      </c>
      <c r="D3" s="4" t="s">
        <v>15</v>
      </c>
      <c r="E3" s="4" t="s">
        <v>16</v>
      </c>
      <c r="F3" s="4" t="s">
        <v>17</v>
      </c>
      <c r="G3" s="5">
        <v>250000</v>
      </c>
      <c r="H3" s="6">
        <v>0.05</v>
      </c>
      <c r="I3" s="5">
        <v>5</v>
      </c>
      <c r="J3" s="14">
        <v>4.2</v>
      </c>
      <c r="K3" s="10">
        <v>1250000</v>
      </c>
      <c r="L3" s="9">
        <v>62500</v>
      </c>
      <c r="M3" s="9">
        <f t="shared" ref="M3:M11" si="0" xml:space="preserve"> K3 - L3</f>
        <v>1187500</v>
      </c>
    </row>
    <row r="4" spans="1:16">
      <c r="A4" s="5">
        <v>1003</v>
      </c>
      <c r="B4" s="3">
        <v>46025</v>
      </c>
      <c r="C4" s="4" t="s">
        <v>18</v>
      </c>
      <c r="D4" s="4" t="s">
        <v>15</v>
      </c>
      <c r="E4" s="4" t="s">
        <v>12</v>
      </c>
      <c r="F4" s="4" t="s">
        <v>19</v>
      </c>
      <c r="G4" s="5">
        <v>750000</v>
      </c>
      <c r="H4" s="6">
        <v>0.15</v>
      </c>
      <c r="I4" s="5">
        <v>3</v>
      </c>
      <c r="J4" s="5">
        <v>4.7</v>
      </c>
      <c r="K4" s="10">
        <v>2250000</v>
      </c>
      <c r="L4" s="9">
        <v>337500</v>
      </c>
      <c r="M4" s="9">
        <f t="shared" si="0"/>
        <v>1912500</v>
      </c>
    </row>
    <row r="5" spans="1:16">
      <c r="A5" s="5">
        <v>1004</v>
      </c>
      <c r="B5" s="3">
        <v>46026</v>
      </c>
      <c r="C5" s="4" t="s">
        <v>20</v>
      </c>
      <c r="D5" s="4" t="s">
        <v>11</v>
      </c>
      <c r="E5" s="4" t="s">
        <v>21</v>
      </c>
      <c r="F5" s="4" t="s">
        <v>13</v>
      </c>
      <c r="G5" s="5">
        <v>3200000</v>
      </c>
      <c r="H5" s="6">
        <v>0.1</v>
      </c>
      <c r="I5" s="5">
        <v>2</v>
      </c>
      <c r="J5" s="5">
        <v>4.0999999999999996</v>
      </c>
      <c r="K5" s="10">
        <v>6400000</v>
      </c>
      <c r="L5" s="9">
        <v>640000</v>
      </c>
      <c r="M5" s="9">
        <f t="shared" si="0"/>
        <v>5760000</v>
      </c>
    </row>
    <row r="6" spans="1:16">
      <c r="A6" s="5">
        <v>1005</v>
      </c>
      <c r="B6" s="3">
        <v>46027</v>
      </c>
      <c r="C6" s="4" t="s">
        <v>10</v>
      </c>
      <c r="D6" s="4" t="s">
        <v>11</v>
      </c>
      <c r="E6" s="4" t="s">
        <v>16</v>
      </c>
      <c r="F6" s="4" t="s">
        <v>17</v>
      </c>
      <c r="G6" s="5">
        <v>8500000</v>
      </c>
      <c r="H6" s="6">
        <v>0.2</v>
      </c>
      <c r="I6" s="5">
        <v>4</v>
      </c>
      <c r="J6" s="5">
        <v>4.8</v>
      </c>
      <c r="K6" s="10">
        <v>34000000</v>
      </c>
      <c r="L6" s="9">
        <v>6800000</v>
      </c>
      <c r="M6" s="9">
        <f t="shared" si="0"/>
        <v>27200000</v>
      </c>
    </row>
    <row r="7" spans="1:16">
      <c r="A7" s="5">
        <v>1006</v>
      </c>
      <c r="B7" s="3">
        <v>46028</v>
      </c>
      <c r="C7" s="4" t="s">
        <v>22</v>
      </c>
      <c r="D7" s="4" t="s">
        <v>15</v>
      </c>
      <c r="E7" s="4" t="s">
        <v>23</v>
      </c>
      <c r="F7" s="4" t="s">
        <v>19</v>
      </c>
      <c r="G7" s="5">
        <v>500000</v>
      </c>
      <c r="H7" s="6">
        <v>0.05</v>
      </c>
      <c r="I7" s="5">
        <v>6</v>
      </c>
      <c r="J7" s="5">
        <v>4</v>
      </c>
      <c r="K7" s="10">
        <v>3000000</v>
      </c>
      <c r="L7" s="9">
        <v>150000</v>
      </c>
      <c r="M7" s="9">
        <f t="shared" si="0"/>
        <v>2850000</v>
      </c>
    </row>
    <row r="8" spans="1:16">
      <c r="A8" s="5">
        <v>1007</v>
      </c>
      <c r="B8" s="3">
        <v>46029</v>
      </c>
      <c r="C8" s="4" t="s">
        <v>14</v>
      </c>
      <c r="D8" s="4" t="s">
        <v>15</v>
      </c>
      <c r="E8" s="4" t="s">
        <v>12</v>
      </c>
      <c r="F8" s="4" t="s">
        <v>13</v>
      </c>
      <c r="G8" s="5">
        <v>250000</v>
      </c>
      <c r="H8" s="6">
        <v>0.1</v>
      </c>
      <c r="I8" s="5">
        <v>8</v>
      </c>
      <c r="J8" s="5">
        <v>4.3</v>
      </c>
      <c r="K8" s="10">
        <v>2000000</v>
      </c>
      <c r="L8" s="9">
        <v>200000</v>
      </c>
      <c r="M8" s="9">
        <f t="shared" si="0"/>
        <v>1800000</v>
      </c>
    </row>
    <row r="9" spans="1:16">
      <c r="A9" s="5">
        <v>1008</v>
      </c>
      <c r="B9" s="3">
        <v>46030</v>
      </c>
      <c r="C9" s="4" t="s">
        <v>10</v>
      </c>
      <c r="D9" s="4" t="s">
        <v>11</v>
      </c>
      <c r="E9" s="4" t="s">
        <v>23</v>
      </c>
      <c r="F9" s="4" t="s">
        <v>17</v>
      </c>
      <c r="G9" s="5">
        <v>8500000</v>
      </c>
      <c r="H9" s="6">
        <v>0.15</v>
      </c>
      <c r="I9" s="5">
        <v>1</v>
      </c>
      <c r="J9" s="5">
        <v>4.5999999999999996</v>
      </c>
      <c r="K9" s="10">
        <v>8500000</v>
      </c>
      <c r="L9" s="9">
        <v>1275000</v>
      </c>
      <c r="M9" s="9">
        <f t="shared" si="0"/>
        <v>7225000</v>
      </c>
    </row>
    <row r="10" spans="1:16">
      <c r="A10" s="5">
        <v>1009</v>
      </c>
      <c r="B10" s="3">
        <v>46031</v>
      </c>
      <c r="C10" s="4" t="s">
        <v>20</v>
      </c>
      <c r="D10" s="4" t="s">
        <v>11</v>
      </c>
      <c r="E10" s="4" t="s">
        <v>16</v>
      </c>
      <c r="F10" s="4" t="s">
        <v>19</v>
      </c>
      <c r="G10" s="5">
        <v>3200000</v>
      </c>
      <c r="H10" s="6">
        <v>0.05</v>
      </c>
      <c r="I10" s="5">
        <v>3</v>
      </c>
      <c r="J10" s="5">
        <v>4.4000000000000004</v>
      </c>
      <c r="K10" s="10">
        <v>9600000</v>
      </c>
      <c r="L10" s="9">
        <v>480000</v>
      </c>
      <c r="M10" s="9">
        <f t="shared" si="0"/>
        <v>9120000</v>
      </c>
    </row>
    <row r="11" spans="1:16">
      <c r="A11" s="5">
        <v>1010</v>
      </c>
      <c r="B11" s="3">
        <v>46032</v>
      </c>
      <c r="C11" s="4" t="s">
        <v>18</v>
      </c>
      <c r="D11" s="4" t="s">
        <v>15</v>
      </c>
      <c r="E11" s="4" t="s">
        <v>21</v>
      </c>
      <c r="F11" s="4" t="s">
        <v>13</v>
      </c>
      <c r="G11" s="5">
        <v>750000</v>
      </c>
      <c r="H11" s="6">
        <v>0.1</v>
      </c>
      <c r="I11" s="5">
        <v>7</v>
      </c>
      <c r="J11" s="5">
        <v>4.9000000000000004</v>
      </c>
      <c r="K11" s="10">
        <v>5250000</v>
      </c>
      <c r="L11" s="9">
        <v>525000</v>
      </c>
      <c r="M11" s="9">
        <f t="shared" si="0"/>
        <v>4725000</v>
      </c>
    </row>
    <row r="13" spans="1:16">
      <c r="B13" t="s">
        <v>24</v>
      </c>
      <c r="E13">
        <f>SUM(I2:I11)</f>
        <v>41</v>
      </c>
      <c r="H13" s="12"/>
      <c r="I13" t="s">
        <v>37</v>
      </c>
      <c r="M13" s="8">
        <f>SUM(M2:M11)</f>
        <v>77080000</v>
      </c>
      <c r="P13" s="13" t="s">
        <v>43</v>
      </c>
    </row>
    <row r="14" spans="1:16">
      <c r="B14" t="s">
        <v>25</v>
      </c>
      <c r="E14">
        <f>AVERAGE(I2:I11)</f>
        <v>4.0999999999999996</v>
      </c>
      <c r="I14" t="s">
        <v>38</v>
      </c>
      <c r="M14" s="8">
        <f>AVERAGE(M2:M11)</f>
        <v>7708000</v>
      </c>
      <c r="P14" s="13" t="s">
        <v>44</v>
      </c>
    </row>
    <row r="15" spans="1:16">
      <c r="B15" t="s">
        <v>26</v>
      </c>
      <c r="E15">
        <f>COUNT(I2:I11)</f>
        <v>10</v>
      </c>
      <c r="I15" t="s">
        <v>39</v>
      </c>
      <c r="M15">
        <f>SUMIF(D2:D11, "Elektronik", M2:M11)</f>
        <v>64605000</v>
      </c>
      <c r="P15" s="13" t="s">
        <v>45</v>
      </c>
    </row>
    <row r="16" spans="1:16">
      <c r="B16" t="s">
        <v>27</v>
      </c>
      <c r="E16">
        <f>COUNTIF(E2:E11, "Bandung")</f>
        <v>3</v>
      </c>
      <c r="I16" t="s">
        <v>40</v>
      </c>
      <c r="M16">
        <f>SUMIF(E2:E11, "Bandung", M2:M11)</f>
        <v>19012500</v>
      </c>
      <c r="P16" s="13" t="s">
        <v>46</v>
      </c>
    </row>
    <row r="17" spans="2:16">
      <c r="B17" t="s">
        <v>28</v>
      </c>
      <c r="E17">
        <f>COUNTIF(J2:J11, "&gt;=4.5")</f>
        <v>0</v>
      </c>
      <c r="I17" t="s">
        <v>41</v>
      </c>
      <c r="M17">
        <f>COUNTIF(H2:H11, "&gt;=10%")</f>
        <v>7</v>
      </c>
      <c r="P17" s="13" t="s">
        <v>47</v>
      </c>
    </row>
    <row r="18" spans="2:16">
      <c r="B18" t="s">
        <v>29</v>
      </c>
      <c r="E18">
        <f>SUMIF(E2:E11, "Bandung", I2:I11)</f>
        <v>13</v>
      </c>
      <c r="I18" t="s">
        <v>42</v>
      </c>
      <c r="N18">
        <f>COUNTIFS(J2:J11, "&gt;=4.5", I2:I11, "&gt;=4")</f>
        <v>0</v>
      </c>
    </row>
    <row r="19" spans="2:16">
      <c r="B19" t="s">
        <v>30</v>
      </c>
      <c r="E19">
        <f>SUMIF(F2:F11, "Andi", I2:I11)</f>
        <v>19</v>
      </c>
    </row>
    <row r="20" spans="2:16">
      <c r="B20" t="s">
        <v>31</v>
      </c>
      <c r="E20">
        <f>SUM(G2:G11)</f>
        <v>34400000</v>
      </c>
      <c r="I20" t="s">
        <v>48</v>
      </c>
    </row>
    <row r="21" spans="2:16">
      <c r="B21" t="s">
        <v>32</v>
      </c>
      <c r="E21">
        <f>AVERAGE(G2:G11)</f>
        <v>3440000</v>
      </c>
      <c r="I21">
        <f>SUMIF(F2:F11, "Andi", M2:M11)</f>
        <v>27585000</v>
      </c>
    </row>
    <row r="22" spans="2:16">
      <c r="B22" t="s">
        <v>33</v>
      </c>
      <c r="E22">
        <f>SUMIF(D2:D11, "Elektronik", I2:I11)</f>
        <v>12</v>
      </c>
      <c r="I22" t="s">
        <v>49</v>
      </c>
    </row>
    <row r="23" spans="2:16">
      <c r="I23">
        <f>SUMIF(F2:F11, "Budi", M2:M11)</f>
        <v>35612500</v>
      </c>
    </row>
    <row r="24" spans="2:16">
      <c r="I24" t="s">
        <v>50</v>
      </c>
    </row>
    <row r="25" spans="2:16">
      <c r="I25">
        <f>SUMIF(F2:F11, "Citra", M2:M11)</f>
        <v>13882500</v>
      </c>
    </row>
    <row r="26" spans="2:16">
      <c r="I26" t="s">
        <v>51</v>
      </c>
    </row>
    <row r="27" spans="2:16">
      <c r="I27">
        <f>AVERAGE(J2:J11)</f>
        <v>4.45</v>
      </c>
    </row>
    <row r="28" spans="2:16">
      <c r="I28" t="s">
        <v>52</v>
      </c>
    </row>
    <row r="29" spans="2:16">
      <c r="I29">
        <f>COUNTIF(J2:J11, "&lt; 4,5")</f>
        <v>5</v>
      </c>
    </row>
    <row r="30" spans="2:16">
      <c r="I30" t="s">
        <v>53</v>
      </c>
    </row>
    <row r="31" spans="2:16">
      <c r="I31">
        <f>SUMIF(J2:J11, "&gt;=4,5", M2:M11)</f>
        <v>56362500</v>
      </c>
    </row>
    <row r="32" spans="2:16">
      <c r="I32" t="s">
        <v>54</v>
      </c>
    </row>
    <row r="33" spans="8:9">
      <c r="I33">
        <f>SUMIF(H2:H11, "&gt;=15%", M2:M11)</f>
        <v>36337500</v>
      </c>
    </row>
    <row r="34" spans="8:9">
      <c r="I34" t="s">
        <v>55</v>
      </c>
    </row>
    <row r="35" spans="8:9">
      <c r="I35">
        <f>COUNTIF(J2:J11, "&gt;= 4,5")</f>
        <v>5</v>
      </c>
    </row>
    <row r="36" spans="8:9">
      <c r="H36" t="s">
        <v>56</v>
      </c>
      <c r="I36" t="s">
        <v>57</v>
      </c>
    </row>
    <row r="37" spans="8:9">
      <c r="I37">
        <f>SUMIFS(M2:M11, F2:F11, "Andi", J2:J11, "&gt;=4,5")</f>
        <v>20025000</v>
      </c>
    </row>
    <row r="38" spans="8:9">
      <c r="I38" t="s">
        <v>58</v>
      </c>
    </row>
    <row r="39" spans="8:9">
      <c r="I39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83C5-8787-4701-A9EC-BF7B51FBE2A2}">
  <dimension ref="A1:P55"/>
  <sheetViews>
    <sheetView topLeftCell="A28" zoomScale="90" zoomScaleNormal="90" workbookViewId="0">
      <selection activeCell="M3" sqref="M3"/>
    </sheetView>
  </sheetViews>
  <sheetFormatPr defaultRowHeight="14.5"/>
  <cols>
    <col min="1" max="1" width="3.81640625" bestFit="1" customWidth="1"/>
    <col min="2" max="2" width="14.90625" customWidth="1"/>
    <col min="3" max="3" width="11.7265625" customWidth="1"/>
    <col min="4" max="4" width="13.1796875" customWidth="1"/>
    <col min="5" max="5" width="17.1796875" customWidth="1"/>
    <col min="6" max="6" width="20.7265625" customWidth="1"/>
    <col min="7" max="7" width="7.36328125" customWidth="1"/>
    <col min="8" max="8" width="11.7265625" customWidth="1"/>
    <col min="9" max="9" width="18.08984375" bestFit="1" customWidth="1"/>
    <col min="10" max="10" width="20.26953125" customWidth="1"/>
    <col min="11" max="11" width="24.54296875" bestFit="1" customWidth="1"/>
    <col min="12" max="12" width="17.453125" bestFit="1" customWidth="1"/>
    <col min="13" max="13" width="29.7265625" bestFit="1" customWidth="1"/>
    <col min="14" max="14" width="23.90625" bestFit="1" customWidth="1"/>
    <col min="15" max="15" width="25.90625" bestFit="1" customWidth="1"/>
    <col min="16" max="16" width="19.453125" bestFit="1" customWidth="1"/>
  </cols>
  <sheetData>
    <row r="1" spans="1:16">
      <c r="A1" s="2" t="s">
        <v>0</v>
      </c>
      <c r="B1" s="2" t="s">
        <v>5</v>
      </c>
      <c r="C1" s="2" t="s">
        <v>59</v>
      </c>
      <c r="D1" s="2" t="s">
        <v>2</v>
      </c>
      <c r="E1" s="2" t="s">
        <v>60</v>
      </c>
      <c r="F1" s="2" t="s">
        <v>61</v>
      </c>
      <c r="G1" s="2" t="s">
        <v>7</v>
      </c>
      <c r="H1" s="2" t="s">
        <v>9</v>
      </c>
      <c r="I1" s="2" t="s">
        <v>62</v>
      </c>
      <c r="J1" s="2" t="s">
        <v>63</v>
      </c>
      <c r="K1" s="16" t="s">
        <v>80</v>
      </c>
      <c r="L1" s="17" t="s">
        <v>81</v>
      </c>
      <c r="M1" s="17" t="s">
        <v>82</v>
      </c>
      <c r="N1" s="17" t="s">
        <v>83</v>
      </c>
      <c r="O1" s="17" t="s">
        <v>84</v>
      </c>
      <c r="P1" s="17" t="s">
        <v>85</v>
      </c>
    </row>
    <row r="2" spans="1:16">
      <c r="A2" s="5">
        <v>101</v>
      </c>
      <c r="B2" s="4" t="s">
        <v>13</v>
      </c>
      <c r="C2" s="4" t="s">
        <v>64</v>
      </c>
      <c r="D2" s="4" t="s">
        <v>65</v>
      </c>
      <c r="E2" s="15">
        <v>48000000</v>
      </c>
      <c r="F2" s="15">
        <v>45000000</v>
      </c>
      <c r="G2" s="6">
        <v>0.1</v>
      </c>
      <c r="H2" s="5">
        <v>4.8</v>
      </c>
      <c r="I2" s="5">
        <v>0</v>
      </c>
      <c r="J2" s="5">
        <v>2</v>
      </c>
      <c r="K2" s="24" t="str">
        <f>IF(AND(E2&gt;=F2, H2&gt;=4.5), "Excellent",  IF(E2&gt;=F2, "Achieved","Not Achieved"))</f>
        <v>Excellent</v>
      </c>
      <c r="L2" s="25" t="str">
        <f>IF(OR(I2&gt;=3, H2&lt;4, J2&gt;5), "Review", "Normal")</f>
        <v>Normal</v>
      </c>
      <c r="M2" s="25" t="str" cm="1">
        <f t="array" ref="M2">_xlfn.IFS(F2&gt;=120, "A", F2&gt;=110,"B", F2&gt;=100, "C", F2&gt;=90, "D", TRUE, "E")</f>
        <v>A</v>
      </c>
      <c r="N2" s="25" t="str" cm="1">
        <f t="array" ref="N2">_xlfn.IFS(AND(I2&gt;=3, H2&lt;4), "High Risk", OR(I2&gt;=2, J2&gt;4), "Medium Risk", TRUE, "Low Risk")</f>
        <v>Low Risk</v>
      </c>
      <c r="O2" s="25" t="str">
        <f>IF(AND(E2&gt;=F2, H2&gt;=4.5, I2&lt;=1), "Bonus Rp2.000.000", IF(OR(E2&gt;=F2*120%, H2&gt;=4), "Bonus Rp0", "Tidak Ada Bonus"))</f>
        <v>Bonus Rp2.000.000</v>
      </c>
      <c r="P2" s="25" cm="1">
        <f t="array" ref="P2">IFERROR(E2 * _xlfn.IFS(M2="A", 5%, M2="B", 4%, M2="C", 3%, M2="D", 2%, M2="E", 0%), 0)</f>
        <v>2400000</v>
      </c>
    </row>
    <row r="3" spans="1:16">
      <c r="A3" s="5">
        <v>102</v>
      </c>
      <c r="B3" s="4" t="s">
        <v>17</v>
      </c>
      <c r="C3" s="4" t="s">
        <v>64</v>
      </c>
      <c r="D3" s="4" t="s">
        <v>66</v>
      </c>
      <c r="E3" s="15">
        <v>32000000</v>
      </c>
      <c r="F3" s="15">
        <v>35000000</v>
      </c>
      <c r="G3" s="6">
        <v>0.15</v>
      </c>
      <c r="H3" s="5">
        <v>4.2</v>
      </c>
      <c r="I3" s="5">
        <v>2</v>
      </c>
      <c r="J3" s="5">
        <v>4</v>
      </c>
      <c r="K3" s="24" t="str">
        <f>IF(AND(E3&gt;=F3, H3&gt;=4.5), "Excellent",  IF(E3&gt;=F3, "Achieved","Not Achieved"))</f>
        <v>Not Achieved</v>
      </c>
      <c r="L3" s="25" t="str">
        <f t="shared" ref="L3:L13" si="0">IF(OR(I3&gt;=3, H3&lt;4, J3&gt;5), "Review", "Normal")</f>
        <v>Normal</v>
      </c>
      <c r="M3" s="25" t="str" cm="1">
        <f t="array" ref="M3">_xlfn.IFS(F3&gt;=120, "A", F3&gt;=110,"B", F3&gt;=100, "C", F3&gt;=90, "D", TRUE, "E")</f>
        <v>A</v>
      </c>
      <c r="N3" s="25" t="str" cm="1">
        <f t="array" ref="N3">_xlfn.IFS(AND(I3&gt;=3, H3&lt;4), "High Risk", OR(I3&gt;=2, J3&gt;4), "Medium Risk", TRUE, "Low Risk")</f>
        <v>Medium Risk</v>
      </c>
      <c r="O3" s="25" t="str">
        <f t="shared" ref="O3:O13" si="1">IF(AND(E3&gt;=F3, H3&gt;=4.5, I3&lt;=1), "Bonus Rp2.000.000", IF(OR(E3&gt;=F3*120%, H3&gt;=4), "Bonus Rp0", "Tidak Ada Bonus"))</f>
        <v>Bonus Rp0</v>
      </c>
      <c r="P3" s="25" cm="1">
        <f t="array" ref="P3">IFERROR(E3 * _xlfn.IFS(M3="A", 5%, M3="B", 4%, M3="C", 3%, M3="D", 2%, M3="E", 0%), 0)</f>
        <v>1600000</v>
      </c>
    </row>
    <row r="4" spans="1:16">
      <c r="A4" s="5">
        <v>103</v>
      </c>
      <c r="B4" s="4" t="s">
        <v>19</v>
      </c>
      <c r="C4" s="4" t="s">
        <v>67</v>
      </c>
      <c r="D4" s="4" t="s">
        <v>65</v>
      </c>
      <c r="E4" s="15">
        <v>75000000</v>
      </c>
      <c r="F4" s="15">
        <v>70000000</v>
      </c>
      <c r="G4" s="6">
        <v>0.05</v>
      </c>
      <c r="H4" s="5">
        <v>4.9000000000000004</v>
      </c>
      <c r="I4" s="5">
        <v>0</v>
      </c>
      <c r="J4" s="5">
        <v>2</v>
      </c>
      <c r="K4" s="24" t="str">
        <f t="shared" ref="K4:K13" si="2">IF(AND(E4&gt;=F4, H4&gt;=4.5), "Excellent",  IF(E4&gt;=F4, "Achieved","Not Achieved"))</f>
        <v>Excellent</v>
      </c>
      <c r="L4" s="25" t="str">
        <f t="shared" si="0"/>
        <v>Normal</v>
      </c>
      <c r="M4" s="25" t="str" cm="1">
        <f t="array" ref="M4">_xlfn.IFS(F4&gt;=120, "A", F4&gt;=110,"B", F4&gt;=100, "C", F4&gt;=90, "D", TRUE, "E")</f>
        <v>A</v>
      </c>
      <c r="N4" s="25" t="str" cm="1">
        <f t="array" ref="N4">_xlfn.IFS(AND(I4&gt;=3, H4&lt;4), "High Risk", OR(I4&gt;=2, J4&gt;4), "Medium Risk", TRUE, "Low Risk")</f>
        <v>Low Risk</v>
      </c>
      <c r="O4" s="25" t="str">
        <f t="shared" si="1"/>
        <v>Bonus Rp2.000.000</v>
      </c>
      <c r="P4" s="25" cm="1">
        <f t="array" ref="P4">IFERROR(E4 * _xlfn.IFS(M4="A", 5%, M4="B", 4%, M4="C", 3%, M4="D", 2%, M4="E", 0%), 0)</f>
        <v>3750000</v>
      </c>
    </row>
    <row r="5" spans="1:16">
      <c r="A5" s="5">
        <v>104</v>
      </c>
      <c r="B5" s="4" t="s">
        <v>68</v>
      </c>
      <c r="C5" s="4" t="s">
        <v>64</v>
      </c>
      <c r="D5" s="4" t="s">
        <v>69</v>
      </c>
      <c r="E5" s="15">
        <v>12000000</v>
      </c>
      <c r="F5" s="15">
        <v>15000000</v>
      </c>
      <c r="G5" s="6">
        <v>0.2</v>
      </c>
      <c r="H5" s="5">
        <v>3.8</v>
      </c>
      <c r="I5" s="5">
        <v>3</v>
      </c>
      <c r="J5" s="5">
        <v>6</v>
      </c>
      <c r="K5" s="24" t="str">
        <f t="shared" si="2"/>
        <v>Not Achieved</v>
      </c>
      <c r="L5" s="25" t="str">
        <f t="shared" si="0"/>
        <v>Review</v>
      </c>
      <c r="M5" s="25" t="str" cm="1">
        <f t="array" ref="M5">_xlfn.IFS(F5&gt;=120, "A", F5&gt;=110,"B", F5&gt;=100, "C", F5&gt;=90, "D", TRUE, "E")</f>
        <v>A</v>
      </c>
      <c r="N5" s="25" t="str" cm="1">
        <f t="array" ref="N5">_xlfn.IFS(AND(I5&gt;=3, H5&lt;4), "High Risk", OR(I5&gt;=2, J5&gt;4), "Medium Risk", TRUE, "Low Risk")</f>
        <v>High Risk</v>
      </c>
      <c r="O5" s="25" t="str">
        <f t="shared" si="1"/>
        <v>Tidak Ada Bonus</v>
      </c>
      <c r="P5" s="25" cm="1">
        <f t="array" ref="P5">IFERROR(E5 * _xlfn.IFS(M5="A", 5%, M5="B", 4%, M5="C", 3%, M5="D", 2%, M5="E", 0%), 0)</f>
        <v>600000</v>
      </c>
    </row>
    <row r="6" spans="1:16">
      <c r="A6" s="5">
        <v>105</v>
      </c>
      <c r="B6" s="4" t="s">
        <v>70</v>
      </c>
      <c r="C6" s="4" t="s">
        <v>67</v>
      </c>
      <c r="D6" s="4" t="s">
        <v>71</v>
      </c>
      <c r="E6" s="15">
        <v>125000000</v>
      </c>
      <c r="F6" s="15">
        <v>100000000</v>
      </c>
      <c r="G6" s="6">
        <v>0.08</v>
      </c>
      <c r="H6" s="5">
        <v>4.7</v>
      </c>
      <c r="I6" s="5">
        <v>1</v>
      </c>
      <c r="J6" s="5">
        <v>3</v>
      </c>
      <c r="K6" s="24" t="str">
        <f t="shared" si="2"/>
        <v>Excellent</v>
      </c>
      <c r="L6" s="25" t="str">
        <f t="shared" si="0"/>
        <v>Normal</v>
      </c>
      <c r="M6" s="25" t="str" cm="1">
        <f t="array" ref="M6">_xlfn.IFS(F6&gt;=120, "A", F6&gt;=110,"B", F6&gt;=100, "C", F6&gt;=90, "D", TRUE, "E")</f>
        <v>A</v>
      </c>
      <c r="N6" s="25" t="str" cm="1">
        <f t="array" ref="N6">_xlfn.IFS(AND(I6&gt;=3, H6&lt;4), "High Risk", OR(I6&gt;=2, J6&gt;4), "Medium Risk", TRUE, "Low Risk")</f>
        <v>Low Risk</v>
      </c>
      <c r="O6" s="25" t="str">
        <f t="shared" si="1"/>
        <v>Bonus Rp2.000.000</v>
      </c>
      <c r="P6" s="25" cm="1">
        <f t="array" ref="P6">IFERROR(E6 * _xlfn.IFS(M6="A", 5%, M6="B", 4%, M6="C", 3%, M6="D", 2%, M6="E", 0%), 0)</f>
        <v>6250000</v>
      </c>
    </row>
    <row r="7" spans="1:16">
      <c r="A7" s="5">
        <v>106</v>
      </c>
      <c r="B7" s="4" t="s">
        <v>72</v>
      </c>
      <c r="C7" s="4" t="s">
        <v>64</v>
      </c>
      <c r="D7" s="4" t="s">
        <v>73</v>
      </c>
      <c r="E7" s="15">
        <v>8000000</v>
      </c>
      <c r="F7" s="15">
        <v>7000000</v>
      </c>
      <c r="G7" s="6">
        <v>0.05</v>
      </c>
      <c r="H7" s="5">
        <v>4.5</v>
      </c>
      <c r="I7" s="5">
        <v>0</v>
      </c>
      <c r="J7" s="5">
        <v>2</v>
      </c>
      <c r="K7" s="24" t="str">
        <f t="shared" si="2"/>
        <v>Excellent</v>
      </c>
      <c r="L7" s="25" t="str">
        <f t="shared" si="0"/>
        <v>Normal</v>
      </c>
      <c r="M7" s="25" t="str" cm="1">
        <f t="array" ref="M7">_xlfn.IFS(F7&gt;=120, "A", F7&gt;=110,"B", F7&gt;=100, "C", F7&gt;=90, "D", TRUE, "E")</f>
        <v>A</v>
      </c>
      <c r="N7" s="25" t="str" cm="1">
        <f t="array" ref="N7">_xlfn.IFS(AND(I7&gt;=3, H7&lt;4), "High Risk", OR(I7&gt;=2, J7&gt;4), "Medium Risk", TRUE, "Low Risk")</f>
        <v>Low Risk</v>
      </c>
      <c r="O7" s="25" t="str">
        <f t="shared" si="1"/>
        <v>Bonus Rp2.000.000</v>
      </c>
      <c r="P7" s="25" cm="1">
        <f t="array" ref="P7">IFERROR(E7 * _xlfn.IFS(M7="A", 5%, M7="B", 4%, M7="C", 3%, M7="D", 2%, M7="E", 0%), 0)</f>
        <v>400000</v>
      </c>
    </row>
    <row r="8" spans="1:16">
      <c r="A8" s="5">
        <v>107</v>
      </c>
      <c r="B8" s="4" t="s">
        <v>74</v>
      </c>
      <c r="C8" s="4" t="s">
        <v>67</v>
      </c>
      <c r="D8" s="4" t="s">
        <v>65</v>
      </c>
      <c r="E8" s="15">
        <v>62000000</v>
      </c>
      <c r="F8" s="15">
        <v>65000000</v>
      </c>
      <c r="G8" s="6">
        <v>0.12</v>
      </c>
      <c r="H8" s="5">
        <v>4.0999999999999996</v>
      </c>
      <c r="I8" s="5">
        <v>1</v>
      </c>
      <c r="J8" s="5">
        <v>5</v>
      </c>
      <c r="K8" s="24" t="str">
        <f t="shared" si="2"/>
        <v>Not Achieved</v>
      </c>
      <c r="L8" s="25" t="str">
        <f t="shared" si="0"/>
        <v>Normal</v>
      </c>
      <c r="M8" s="25" t="str" cm="1">
        <f t="array" ref="M8">_xlfn.IFS(F8&gt;=120, "A", F8&gt;=110,"B", F8&gt;=100, "C", F8&gt;=90, "D", TRUE, "E")</f>
        <v>A</v>
      </c>
      <c r="N8" s="25" t="str" cm="1">
        <f t="array" ref="N8">_xlfn.IFS(AND(I8&gt;=3, H8&lt;4), "High Risk", OR(I8&gt;=2, J8&gt;4), "Medium Risk", TRUE, "Low Risk")</f>
        <v>Medium Risk</v>
      </c>
      <c r="O8" s="25" t="str">
        <f t="shared" si="1"/>
        <v>Bonus Rp0</v>
      </c>
      <c r="P8" s="25" cm="1">
        <f t="array" ref="P8">IFERROR(E8 * _xlfn.IFS(M8="A", 5%, M8="B", 4%, M8="C", 3%, M8="D", 2%, M8="E", 0%), 0)</f>
        <v>3100000</v>
      </c>
    </row>
    <row r="9" spans="1:16">
      <c r="A9" s="5">
        <v>108</v>
      </c>
      <c r="B9" s="4" t="s">
        <v>75</v>
      </c>
      <c r="C9" s="4" t="s">
        <v>64</v>
      </c>
      <c r="D9" s="4" t="s">
        <v>66</v>
      </c>
      <c r="E9" s="15">
        <v>40000000</v>
      </c>
      <c r="F9" s="15">
        <v>38000000</v>
      </c>
      <c r="G9" s="6">
        <v>0.1</v>
      </c>
      <c r="H9" s="5">
        <v>3.9</v>
      </c>
      <c r="I9" s="5">
        <v>2</v>
      </c>
      <c r="J9" s="5">
        <v>4</v>
      </c>
      <c r="K9" s="24" t="str">
        <f t="shared" si="2"/>
        <v>Achieved</v>
      </c>
      <c r="L9" s="25" t="str">
        <f t="shared" si="0"/>
        <v>Review</v>
      </c>
      <c r="M9" s="25" t="str" cm="1">
        <f t="array" ref="M9">_xlfn.IFS(F9&gt;=120, "A", F9&gt;=110,"B", F9&gt;=100, "C", F9&gt;=90, "D", TRUE, "E")</f>
        <v>A</v>
      </c>
      <c r="N9" s="25" t="str" cm="1">
        <f t="array" ref="N9">_xlfn.IFS(AND(I9&gt;=3, H9&lt;4), "High Risk", OR(I9&gt;=2, J9&gt;4), "Medium Risk", TRUE, "Low Risk")</f>
        <v>Medium Risk</v>
      </c>
      <c r="O9" s="25" t="str">
        <f t="shared" si="1"/>
        <v>Tidak Ada Bonus</v>
      </c>
      <c r="P9" s="25" cm="1">
        <f t="array" ref="P9">IFERROR(E9 * _xlfn.IFS(M9="A", 5%, M9="B", 4%, M9="C", 3%, M9="D", 2%, M9="E", 0%), 0)</f>
        <v>2000000</v>
      </c>
    </row>
    <row r="10" spans="1:16">
      <c r="A10" s="5">
        <v>109</v>
      </c>
      <c r="B10" s="4" t="s">
        <v>76</v>
      </c>
      <c r="C10" s="4" t="s">
        <v>67</v>
      </c>
      <c r="D10" s="4" t="s">
        <v>71</v>
      </c>
      <c r="E10" s="15">
        <v>95000000</v>
      </c>
      <c r="F10" s="15">
        <v>90000000</v>
      </c>
      <c r="G10" s="6">
        <v>7.0000000000000007E-2</v>
      </c>
      <c r="H10" s="5">
        <v>4.5999999999999996</v>
      </c>
      <c r="I10" s="5">
        <v>0</v>
      </c>
      <c r="J10" s="5">
        <v>3</v>
      </c>
      <c r="K10" s="24" t="str">
        <f t="shared" si="2"/>
        <v>Excellent</v>
      </c>
      <c r="L10" s="25" t="str">
        <f t="shared" si="0"/>
        <v>Normal</v>
      </c>
      <c r="M10" s="25" t="str" cm="1">
        <f t="array" ref="M10">_xlfn.IFS(F10&gt;=120, "A", F10&gt;=110,"B", F10&gt;=100, "C", F10&gt;=90, "D", TRUE, "E")</f>
        <v>A</v>
      </c>
      <c r="N10" s="25" t="str" cm="1">
        <f t="array" ref="N10">_xlfn.IFS(AND(I10&gt;=3, H10&lt;4), "High Risk", OR(I10&gt;=2, J10&gt;4), "Medium Risk", TRUE, "Low Risk")</f>
        <v>Low Risk</v>
      </c>
      <c r="O10" s="25" t="str">
        <f t="shared" si="1"/>
        <v>Bonus Rp2.000.000</v>
      </c>
      <c r="P10" s="25" cm="1">
        <f t="array" ref="P10">IFERROR(E10 * _xlfn.IFS(M10="A", 5%, M10="B", 4%, M10="C", 3%, M10="D", 2%, M10="E", 0%), 0)</f>
        <v>4750000</v>
      </c>
    </row>
    <row r="11" spans="1:16">
      <c r="A11" s="5">
        <v>110</v>
      </c>
      <c r="B11" s="4" t="s">
        <v>77</v>
      </c>
      <c r="C11" s="4" t="s">
        <v>64</v>
      </c>
      <c r="D11" s="4" t="s">
        <v>65</v>
      </c>
      <c r="E11" s="15">
        <v>55000000</v>
      </c>
      <c r="F11" s="15">
        <v>50000000</v>
      </c>
      <c r="G11" s="6">
        <v>0.18</v>
      </c>
      <c r="H11" s="5">
        <v>4.3</v>
      </c>
      <c r="I11" s="5">
        <v>1</v>
      </c>
      <c r="J11" s="5">
        <v>5</v>
      </c>
      <c r="K11" s="24" t="str">
        <f t="shared" si="2"/>
        <v>Achieved</v>
      </c>
      <c r="L11" s="25" t="str">
        <f t="shared" si="0"/>
        <v>Normal</v>
      </c>
      <c r="M11" s="25" t="str" cm="1">
        <f t="array" ref="M11">_xlfn.IFS(F11&gt;=120, "A", F11&gt;=110,"B", F11&gt;=100, "C", F11&gt;=90, "D", TRUE, "E")</f>
        <v>A</v>
      </c>
      <c r="N11" s="25" t="str" cm="1">
        <f t="array" ref="N11">_xlfn.IFS(AND(I11&gt;=3, H11&lt;4), "High Risk", OR(I11&gt;=2, J11&gt;4), "Medium Risk", TRUE, "Low Risk")</f>
        <v>Medium Risk</v>
      </c>
      <c r="O11" s="25" t="str">
        <f t="shared" si="1"/>
        <v>Bonus Rp0</v>
      </c>
      <c r="P11" s="25" cm="1">
        <f t="array" ref="P11">IFERROR(E11 * _xlfn.IFS(M11="A", 5%, M11="B", 4%, M11="C", 3%, M11="D", 2%, M11="E", 0%), 0)</f>
        <v>2750000</v>
      </c>
    </row>
    <row r="12" spans="1:16">
      <c r="A12" s="5">
        <v>111</v>
      </c>
      <c r="B12" s="4" t="s">
        <v>78</v>
      </c>
      <c r="C12" s="4" t="s">
        <v>67</v>
      </c>
      <c r="D12" s="4" t="s">
        <v>71</v>
      </c>
      <c r="E12" s="15">
        <v>140000000</v>
      </c>
      <c r="F12" s="15">
        <v>150000000</v>
      </c>
      <c r="G12" s="6">
        <v>0.05</v>
      </c>
      <c r="H12" s="5">
        <v>4.9000000000000004</v>
      </c>
      <c r="I12" s="5">
        <v>0</v>
      </c>
      <c r="J12" s="5">
        <v>2</v>
      </c>
      <c r="K12" s="24" t="str">
        <f t="shared" si="2"/>
        <v>Not Achieved</v>
      </c>
      <c r="L12" s="25" t="str">
        <f t="shared" si="0"/>
        <v>Normal</v>
      </c>
      <c r="M12" s="25" t="str" cm="1">
        <f t="array" ref="M12">_xlfn.IFS(F12&gt;=120, "A", F12&gt;=110,"B", F12&gt;=100, "C", F12&gt;=90, "D", TRUE, "E")</f>
        <v>A</v>
      </c>
      <c r="N12" s="25" t="str" cm="1">
        <f t="array" ref="N12">_xlfn.IFS(AND(I12&gt;=3, H12&lt;4), "High Risk", OR(I12&gt;=2, J12&gt;4), "Medium Risk", TRUE, "Low Risk")</f>
        <v>Low Risk</v>
      </c>
      <c r="O12" s="25" t="str">
        <f t="shared" si="1"/>
        <v>Bonus Rp0</v>
      </c>
      <c r="P12" s="25" cm="1">
        <f t="array" ref="P12">IFERROR(E12 * _xlfn.IFS(M12="A", 5%, M12="B", 4%, M12="C", 3%, M12="D", 2%, M12="E", 0%), 0)</f>
        <v>7000000</v>
      </c>
    </row>
    <row r="13" spans="1:16">
      <c r="A13" s="5">
        <v>112</v>
      </c>
      <c r="B13" s="4" t="s">
        <v>79</v>
      </c>
      <c r="C13" s="4" t="s">
        <v>64</v>
      </c>
      <c r="D13" s="4" t="s">
        <v>69</v>
      </c>
      <c r="E13" s="15">
        <v>18000000</v>
      </c>
      <c r="F13" s="15">
        <v>20000000</v>
      </c>
      <c r="G13" s="6">
        <v>0.25</v>
      </c>
      <c r="H13" s="5">
        <v>3.5</v>
      </c>
      <c r="I13" s="5">
        <v>4</v>
      </c>
      <c r="J13" s="5">
        <v>7</v>
      </c>
      <c r="K13" s="24" t="str">
        <f t="shared" si="2"/>
        <v>Not Achieved</v>
      </c>
      <c r="L13" s="25" t="str">
        <f t="shared" si="0"/>
        <v>Review</v>
      </c>
      <c r="M13" s="25" t="str" cm="1">
        <f t="array" ref="M13">_xlfn.IFS(F13&gt;=120, "A", F13&gt;=110,"B", F13&gt;=100, "C", F13&gt;=90, "D", TRUE, "E")</f>
        <v>A</v>
      </c>
      <c r="N13" s="25" t="str" cm="1">
        <f t="array" ref="N13">_xlfn.IFS(AND(I13&gt;=3, H13&lt;4), "High Risk", OR(I13&gt;=2, J13&gt;4), "Medium Risk", TRUE, "Low Risk")</f>
        <v>High Risk</v>
      </c>
      <c r="O13" s="25" t="str">
        <f t="shared" si="1"/>
        <v>Tidak Ada Bonus</v>
      </c>
      <c r="P13" s="25" cm="1">
        <f t="array" ref="P13">IFERROR(E13 * _xlfn.IFS(M13="A", 5%, M13="B", 4%, M13="C", 3%, M13="D", 2%, M13="E", 0%), 0)</f>
        <v>900000</v>
      </c>
    </row>
    <row r="15" spans="1:16" ht="33" customHeight="1">
      <c r="A15" s="2" t="s">
        <v>0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</v>
      </c>
      <c r="H15" s="2" t="s">
        <v>62</v>
      </c>
      <c r="I15" s="2" t="s">
        <v>91</v>
      </c>
      <c r="J15" s="17" t="s">
        <v>104</v>
      </c>
      <c r="K15" s="17" t="s">
        <v>105</v>
      </c>
      <c r="L15" s="17" t="s">
        <v>106</v>
      </c>
      <c r="M15" s="17" t="s">
        <v>107</v>
      </c>
      <c r="N15" s="17" t="s">
        <v>108</v>
      </c>
    </row>
    <row r="16" spans="1:16">
      <c r="A16" s="5">
        <v>201</v>
      </c>
      <c r="B16" s="4" t="s">
        <v>92</v>
      </c>
      <c r="C16" s="4" t="s">
        <v>67</v>
      </c>
      <c r="D16" s="15">
        <v>85000000</v>
      </c>
      <c r="E16" s="15">
        <v>80000000</v>
      </c>
      <c r="F16" s="5">
        <v>12</v>
      </c>
      <c r="G16" s="5">
        <v>4.8</v>
      </c>
      <c r="H16" s="5">
        <v>0</v>
      </c>
      <c r="I16" s="5">
        <v>5</v>
      </c>
      <c r="J16" s="26" t="str">
        <f>IF(AND(D16&gt;=E16, G16&gt;=4.5), "VIP", IF(D16&gt;=E16, "Reguler", "Low Performance"))</f>
        <v>VIP</v>
      </c>
      <c r="K16" s="26" t="str">
        <f>IF(OR(H16&gt;=3,G16&lt;4,I16&gt;14),"Follow Up","No Action")</f>
        <v>No Action</v>
      </c>
      <c r="L16" s="26" t="str" cm="1">
        <f t="array" ref="L16">_xlfn.IFS(D16/E16&gt;=120%,"Platinum",D16/E16&gt;=110%,"Gold",D16/E16&gt;=100%,"Silver",D16/E16&gt;=90%,"Bronze",TRUE,"Basic")</f>
        <v>Silver</v>
      </c>
      <c r="M16" s="26" t="str" cm="1">
        <f t="array" ref="M16">_xlfn.IFS(AND(H16&gt;=4,G16&lt;4),"High Risk",OR(H16&gt;=2,G16&lt;4.2,I16&gt;14),"Medium Risk",TRUE,"Low Risk")</f>
        <v>Low Risk</v>
      </c>
      <c r="N16" s="26" t="str">
        <f>IF(AND(D16&gt;=E16, F16&gt;=10, G16&gt;=4.5), "Bonus Rp1.500.000", IF(OR(D16&gt;=E16*120%, H16&lt;=1), "Rp0", "Tidak Ada Bonus"))</f>
        <v>Bonus Rp1.500.000</v>
      </c>
    </row>
    <row r="17" spans="1:14">
      <c r="A17" s="5">
        <v>202</v>
      </c>
      <c r="B17" s="4" t="s">
        <v>93</v>
      </c>
      <c r="C17" s="4" t="s">
        <v>64</v>
      </c>
      <c r="D17" s="15">
        <v>42000000</v>
      </c>
      <c r="E17" s="15">
        <v>50000000</v>
      </c>
      <c r="F17" s="5">
        <v>8</v>
      </c>
      <c r="G17" s="5">
        <v>4.0999999999999996</v>
      </c>
      <c r="H17" s="5">
        <v>2</v>
      </c>
      <c r="I17" s="5">
        <v>12</v>
      </c>
      <c r="J17" s="26" t="str">
        <f t="shared" ref="J17:J27" si="3">IF(AND(D17&gt;=E17, G17&gt;=4.5), "VIP", IF(D17&gt;=E17, "Reguler", "Low Performance"))</f>
        <v>Low Performance</v>
      </c>
      <c r="K17" s="26" t="str">
        <f t="shared" ref="K17:K27" si="4">IF(OR(H17&gt;=3,G17&lt;4,I17&gt;14),"Follow Up","No Action")</f>
        <v>No Action</v>
      </c>
      <c r="L17" s="26" t="str" cm="1">
        <f t="array" ref="L17">_xlfn.IFS(D17/E17&gt;=120%,"Platinum",D17/E17&gt;=110%,"Gold",D17/E17&gt;=100%,"Silver",D17/E17&gt;=90%,"Bronze",TRUE,"Basic")</f>
        <v>Basic</v>
      </c>
      <c r="M17" s="26" t="str" cm="1">
        <f t="array" ref="M17">_xlfn.IFS(AND(H17&gt;=4,G17&lt;4),"High Risk",OR(H17&gt;=2,G17&lt;4.2,I17&gt;14),"Medium Risk",TRUE,"Low Risk")</f>
        <v>Medium Risk</v>
      </c>
      <c r="N17" s="26" t="str">
        <f t="shared" ref="N17:N27" si="5">IF(AND(D17&gt;=E17, F17&gt;=10, G17&gt;=4.5), "Bonus Rp1.500.000", IF(OR(D17&gt;=E17*120%, H17&lt;=1), "Rp0", "Tidak Ada Bonus"))</f>
        <v>Tidak Ada Bonus</v>
      </c>
    </row>
    <row r="18" spans="1:14">
      <c r="A18" s="5">
        <v>203</v>
      </c>
      <c r="B18" s="4" t="s">
        <v>94</v>
      </c>
      <c r="C18" s="4" t="s">
        <v>67</v>
      </c>
      <c r="D18" s="15">
        <v>120000000</v>
      </c>
      <c r="E18" s="15">
        <v>100000000</v>
      </c>
      <c r="F18" s="5">
        <v>15</v>
      </c>
      <c r="G18" s="5">
        <v>4.9000000000000004</v>
      </c>
      <c r="H18" s="5">
        <v>1</v>
      </c>
      <c r="I18" s="5">
        <v>3</v>
      </c>
      <c r="J18" s="26" t="str">
        <f t="shared" si="3"/>
        <v>VIP</v>
      </c>
      <c r="K18" s="26" t="str">
        <f t="shared" si="4"/>
        <v>No Action</v>
      </c>
      <c r="L18" s="26" t="str" cm="1">
        <f t="array" ref="L18">_xlfn.IFS(D18/E18&gt;=120%,"Platinum",D18/E18&gt;=110%,"Gold",D18/E18&gt;=100%,"Silver",D18/E18&gt;=90%,"Bronze",TRUE,"Basic")</f>
        <v>Platinum</v>
      </c>
      <c r="M18" s="26" t="str" cm="1">
        <f t="array" ref="M18">_xlfn.IFS(AND(H18&gt;=4,G18&lt;4),"High Risk",OR(H18&gt;=2,G18&lt;4.2,I18&gt;14),"Medium Risk",TRUE,"Low Risk")</f>
        <v>Low Risk</v>
      </c>
      <c r="N18" s="26" t="str">
        <f t="shared" si="5"/>
        <v>Bonus Rp1.500.000</v>
      </c>
    </row>
    <row r="19" spans="1:14">
      <c r="A19" s="5">
        <v>204</v>
      </c>
      <c r="B19" s="4" t="s">
        <v>95</v>
      </c>
      <c r="C19" s="4" t="s">
        <v>64</v>
      </c>
      <c r="D19" s="15">
        <v>25000000</v>
      </c>
      <c r="E19" s="15">
        <v>30000000</v>
      </c>
      <c r="F19" s="5">
        <v>5</v>
      </c>
      <c r="G19" s="5">
        <v>3.7</v>
      </c>
      <c r="H19" s="5">
        <v>4</v>
      </c>
      <c r="I19" s="5">
        <v>20</v>
      </c>
      <c r="J19" s="26" t="str">
        <f t="shared" si="3"/>
        <v>Low Performance</v>
      </c>
      <c r="K19" s="26" t="str">
        <f t="shared" si="4"/>
        <v>Follow Up</v>
      </c>
      <c r="L19" s="26" t="str" cm="1">
        <f t="array" ref="L19">_xlfn.IFS(D19/E19&gt;=120%,"Platinum",D19/E19&gt;=110%,"Gold",D19/E19&gt;=100%,"Silver",D19/E19&gt;=90%,"Bronze",TRUE,"Basic")</f>
        <v>Basic</v>
      </c>
      <c r="M19" s="26" t="str" cm="1">
        <f t="array" ref="M19">_xlfn.IFS(AND(H19&gt;=4,G19&lt;4),"High Risk",OR(H19&gt;=2,G19&lt;4.2,I19&gt;14),"Medium Risk",TRUE,"Low Risk")</f>
        <v>High Risk</v>
      </c>
      <c r="N19" s="26" t="str">
        <f t="shared" si="5"/>
        <v>Tidak Ada Bonus</v>
      </c>
    </row>
    <row r="20" spans="1:14">
      <c r="A20" s="5">
        <v>205</v>
      </c>
      <c r="B20" s="4" t="s">
        <v>96</v>
      </c>
      <c r="C20" s="4" t="s">
        <v>67</v>
      </c>
      <c r="D20" s="15">
        <v>175000000</v>
      </c>
      <c r="E20" s="15">
        <v>150000000</v>
      </c>
      <c r="F20" s="5">
        <v>20</v>
      </c>
      <c r="G20" s="5">
        <v>4.5999999999999996</v>
      </c>
      <c r="H20" s="5">
        <v>0</v>
      </c>
      <c r="I20" s="5">
        <v>2</v>
      </c>
      <c r="J20" s="26" t="str">
        <f t="shared" si="3"/>
        <v>VIP</v>
      </c>
      <c r="K20" s="26" t="str">
        <f t="shared" si="4"/>
        <v>No Action</v>
      </c>
      <c r="L20" s="26" t="str" cm="1">
        <f t="array" ref="L20">_xlfn.IFS(D20/E20&gt;=120%,"Platinum",D20/E20&gt;=110%,"Gold",D20/E20&gt;=100%,"Silver",D20/E20&gt;=90%,"Bronze",TRUE,"Basic")</f>
        <v>Gold</v>
      </c>
      <c r="M20" s="26" t="str" cm="1">
        <f t="array" ref="M20">_xlfn.IFS(AND(H20&gt;=4,G20&lt;4),"High Risk",OR(H20&gt;=2,G20&lt;4.2,I20&gt;14),"Medium Risk",TRUE,"Low Risk")</f>
        <v>Low Risk</v>
      </c>
      <c r="N20" s="26" t="str">
        <f t="shared" si="5"/>
        <v>Bonus Rp1.500.000</v>
      </c>
    </row>
    <row r="21" spans="1:14">
      <c r="A21" s="5">
        <v>206</v>
      </c>
      <c r="B21" s="4" t="s">
        <v>97</v>
      </c>
      <c r="C21" s="4" t="s">
        <v>64</v>
      </c>
      <c r="D21" s="15">
        <v>68000000</v>
      </c>
      <c r="E21" s="15">
        <v>60000000</v>
      </c>
      <c r="F21" s="5">
        <v>10</v>
      </c>
      <c r="G21" s="5">
        <v>4.3</v>
      </c>
      <c r="H21" s="5">
        <v>1</v>
      </c>
      <c r="I21" s="5">
        <v>7</v>
      </c>
      <c r="J21" s="26" t="str">
        <f t="shared" si="3"/>
        <v>Reguler</v>
      </c>
      <c r="K21" s="26" t="str">
        <f t="shared" si="4"/>
        <v>No Action</v>
      </c>
      <c r="L21" s="26" t="str" cm="1">
        <f t="array" ref="L21">_xlfn.IFS(D21/E21&gt;=120%,"Platinum",D21/E21&gt;=110%,"Gold",D21/E21&gt;=100%,"Silver",D21/E21&gt;=90%,"Bronze",TRUE,"Basic")</f>
        <v>Gold</v>
      </c>
      <c r="M21" s="26" t="str" cm="1">
        <f t="array" ref="M21">_xlfn.IFS(AND(H21&gt;=4,G21&lt;4),"High Risk",OR(H21&gt;=2,G21&lt;4.2,I21&gt;14),"Medium Risk",TRUE,"Low Risk")</f>
        <v>Low Risk</v>
      </c>
      <c r="N21" s="26" t="str">
        <f t="shared" si="5"/>
        <v>Rp0</v>
      </c>
    </row>
    <row r="22" spans="1:14">
      <c r="A22" s="5">
        <v>207</v>
      </c>
      <c r="B22" s="4" t="s">
        <v>98</v>
      </c>
      <c r="C22" s="4" t="s">
        <v>67</v>
      </c>
      <c r="D22" s="15">
        <v>95000000</v>
      </c>
      <c r="E22" s="15">
        <v>100000000</v>
      </c>
      <c r="F22" s="5">
        <v>13</v>
      </c>
      <c r="G22" s="5">
        <v>4.5</v>
      </c>
      <c r="H22" s="5">
        <v>2</v>
      </c>
      <c r="I22" s="5">
        <v>10</v>
      </c>
      <c r="J22" s="26" t="str">
        <f t="shared" si="3"/>
        <v>Low Performance</v>
      </c>
      <c r="K22" s="26" t="str">
        <f t="shared" si="4"/>
        <v>No Action</v>
      </c>
      <c r="L22" s="26" t="str" cm="1">
        <f t="array" ref="L22">_xlfn.IFS(D22/E22&gt;=120%,"Platinum",D22/E22&gt;=110%,"Gold",D22/E22&gt;=100%,"Silver",D22/E22&gt;=90%,"Bronze",TRUE,"Basic")</f>
        <v>Bronze</v>
      </c>
      <c r="M22" s="26" t="str" cm="1">
        <f t="array" ref="M22">_xlfn.IFS(AND(H22&gt;=4,G22&lt;4),"High Risk",OR(H22&gt;=2,G22&lt;4.2,I22&gt;14),"Medium Risk",TRUE,"Low Risk")</f>
        <v>Medium Risk</v>
      </c>
      <c r="N22" s="26" t="str">
        <f t="shared" si="5"/>
        <v>Tidak Ada Bonus</v>
      </c>
    </row>
    <row r="23" spans="1:14">
      <c r="A23" s="5">
        <v>208</v>
      </c>
      <c r="B23" s="4" t="s">
        <v>99</v>
      </c>
      <c r="C23" s="4" t="s">
        <v>64</v>
      </c>
      <c r="D23" s="15">
        <v>35000000</v>
      </c>
      <c r="E23" s="15">
        <v>40000000</v>
      </c>
      <c r="F23" s="5">
        <v>6</v>
      </c>
      <c r="G23" s="5">
        <v>3.9</v>
      </c>
      <c r="H23" s="5">
        <v>3</v>
      </c>
      <c r="I23" s="5">
        <v>15</v>
      </c>
      <c r="J23" s="26" t="str">
        <f t="shared" si="3"/>
        <v>Low Performance</v>
      </c>
      <c r="K23" s="26" t="str">
        <f t="shared" si="4"/>
        <v>Follow Up</v>
      </c>
      <c r="L23" s="26" t="str" cm="1">
        <f t="array" ref="L23">_xlfn.IFS(D23/E23&gt;=120%,"Platinum",D23/E23&gt;=110%,"Gold",D23/E23&gt;=100%,"Silver",D23/E23&gt;=90%,"Bronze",TRUE,"Basic")</f>
        <v>Basic</v>
      </c>
      <c r="M23" s="26" t="str" cm="1">
        <f t="array" ref="M23">_xlfn.IFS(AND(H23&gt;=4,G23&lt;4),"High Risk",OR(H23&gt;=2,G23&lt;4.2,I23&gt;14),"Medium Risk",TRUE,"Low Risk")</f>
        <v>Medium Risk</v>
      </c>
      <c r="N23" s="26" t="str">
        <f t="shared" si="5"/>
        <v>Tidak Ada Bonus</v>
      </c>
    </row>
    <row r="24" spans="1:14">
      <c r="A24" s="5">
        <v>209</v>
      </c>
      <c r="B24" s="4" t="s">
        <v>100</v>
      </c>
      <c r="C24" s="4" t="s">
        <v>67</v>
      </c>
      <c r="D24" s="15">
        <v>145000000</v>
      </c>
      <c r="E24" s="15">
        <v>120000000</v>
      </c>
      <c r="F24" s="5">
        <v>18</v>
      </c>
      <c r="G24" s="5">
        <v>4.7</v>
      </c>
      <c r="H24" s="5">
        <v>0</v>
      </c>
      <c r="I24" s="5">
        <v>4</v>
      </c>
      <c r="J24" s="26" t="str">
        <f t="shared" si="3"/>
        <v>VIP</v>
      </c>
      <c r="K24" s="26" t="str">
        <f t="shared" si="4"/>
        <v>No Action</v>
      </c>
      <c r="L24" s="26" t="str" cm="1">
        <f t="array" ref="L24">_xlfn.IFS(D24/E24&gt;=120%,"Platinum",D24/E24&gt;=110%,"Gold",D24/E24&gt;=100%,"Silver",D24/E24&gt;=90%,"Bronze",TRUE,"Basic")</f>
        <v>Platinum</v>
      </c>
      <c r="M24" s="26" t="str" cm="1">
        <f t="array" ref="M24">_xlfn.IFS(AND(H24&gt;=4,G24&lt;4),"High Risk",OR(H24&gt;=2,G24&lt;4.2,I24&gt;14),"Medium Risk",TRUE,"Low Risk")</f>
        <v>Low Risk</v>
      </c>
      <c r="N24" s="26" t="str">
        <f t="shared" si="5"/>
        <v>Bonus Rp1.500.000</v>
      </c>
    </row>
    <row r="25" spans="1:14">
      <c r="A25" s="5">
        <v>210</v>
      </c>
      <c r="B25" s="4" t="s">
        <v>101</v>
      </c>
      <c r="C25" s="4" t="s">
        <v>64</v>
      </c>
      <c r="D25" s="15">
        <v>55000000</v>
      </c>
      <c r="E25" s="15">
        <v>50000000</v>
      </c>
      <c r="F25" s="5">
        <v>9</v>
      </c>
      <c r="G25" s="5">
        <v>4</v>
      </c>
      <c r="H25" s="5">
        <v>2</v>
      </c>
      <c r="I25" s="5">
        <v>8</v>
      </c>
      <c r="J25" s="26" t="str">
        <f t="shared" si="3"/>
        <v>Reguler</v>
      </c>
      <c r="K25" s="26" t="str">
        <f t="shared" si="4"/>
        <v>No Action</v>
      </c>
      <c r="L25" s="26" t="str" cm="1">
        <f t="array" ref="L25">_xlfn.IFS(D25/E25&gt;=120%,"Platinum",D25/E25&gt;=110%,"Gold",D25/E25&gt;=100%,"Silver",D25/E25&gt;=90%,"Bronze",TRUE,"Basic")</f>
        <v>Gold</v>
      </c>
      <c r="M25" s="26" t="str" cm="1">
        <f t="array" ref="M25">_xlfn.IFS(AND(H25&gt;=4,G25&lt;4),"High Risk",OR(H25&gt;=2,G25&lt;4.2,I25&gt;14),"Medium Risk",TRUE,"Low Risk")</f>
        <v>Medium Risk</v>
      </c>
      <c r="N25" s="26" t="str">
        <f t="shared" si="5"/>
        <v>Tidak Ada Bonus</v>
      </c>
    </row>
    <row r="26" spans="1:14">
      <c r="A26" s="5">
        <v>211</v>
      </c>
      <c r="B26" s="4" t="s">
        <v>102</v>
      </c>
      <c r="C26" s="4" t="s">
        <v>67</v>
      </c>
      <c r="D26" s="15">
        <v>90000000</v>
      </c>
      <c r="E26" s="15">
        <v>100000000</v>
      </c>
      <c r="F26" s="5">
        <v>14</v>
      </c>
      <c r="G26" s="5">
        <v>4.8</v>
      </c>
      <c r="H26" s="5">
        <v>0</v>
      </c>
      <c r="I26" s="5">
        <v>6</v>
      </c>
      <c r="J26" s="26" t="str">
        <f t="shared" si="3"/>
        <v>Low Performance</v>
      </c>
      <c r="K26" s="26" t="str">
        <f t="shared" si="4"/>
        <v>No Action</v>
      </c>
      <c r="L26" s="26" t="str" cm="1">
        <f t="array" ref="L26">_xlfn.IFS(D26/E26&gt;=120%,"Platinum",D26/E26&gt;=110%,"Gold",D26/E26&gt;=100%,"Silver",D26/E26&gt;=90%,"Bronze",TRUE,"Basic")</f>
        <v>Bronze</v>
      </c>
      <c r="M26" s="26" t="str" cm="1">
        <f t="array" ref="M26">_xlfn.IFS(AND(H26&gt;=4,G26&lt;4),"High Risk",OR(H26&gt;=2,G26&lt;4.2,I26&gt;14),"Medium Risk",TRUE,"Low Risk")</f>
        <v>Low Risk</v>
      </c>
      <c r="N26" s="26" t="str">
        <f t="shared" si="5"/>
        <v>Rp0</v>
      </c>
    </row>
    <row r="27" spans="1:14">
      <c r="A27" s="5">
        <v>212</v>
      </c>
      <c r="B27" s="4" t="s">
        <v>103</v>
      </c>
      <c r="C27" s="4" t="s">
        <v>64</v>
      </c>
      <c r="D27" s="15">
        <v>18000000</v>
      </c>
      <c r="E27" s="15">
        <v>25000000</v>
      </c>
      <c r="F27" s="5">
        <v>4</v>
      </c>
      <c r="G27" s="5">
        <v>3.5</v>
      </c>
      <c r="H27" s="5">
        <v>5</v>
      </c>
      <c r="I27" s="5">
        <v>25</v>
      </c>
      <c r="J27" s="26" t="str">
        <f t="shared" si="3"/>
        <v>Low Performance</v>
      </c>
      <c r="K27" s="26" t="str">
        <f t="shared" si="4"/>
        <v>Follow Up</v>
      </c>
      <c r="L27" s="26" t="str" cm="1">
        <f t="array" ref="L27">_xlfn.IFS(D27/E27&gt;=120%,"Platinum",D27/E27&gt;=110%,"Gold",D27/E27&gt;=100%,"Silver",D27/E27&gt;=90%,"Bronze",TRUE,"Basic")</f>
        <v>Basic</v>
      </c>
      <c r="M27" s="26" t="str" cm="1">
        <f t="array" ref="M27">_xlfn.IFS(AND(H27&gt;=4,G27&lt;4),"High Risk",OR(H27&gt;=2,G27&lt;4.2,I27&gt;14),"Medium Risk",TRUE,"Low Risk")</f>
        <v>High Risk</v>
      </c>
      <c r="N27" s="26" t="str">
        <f t="shared" si="5"/>
        <v>Tidak Ada Bonus</v>
      </c>
    </row>
    <row r="29" spans="1:14">
      <c r="B29" s="18" t="s">
        <v>109</v>
      </c>
      <c r="C29" s="18"/>
    </row>
    <row r="30" spans="1:14">
      <c r="B30" s="19" t="s">
        <v>110</v>
      </c>
    </row>
    <row r="31" spans="1:14">
      <c r="B31" t="s">
        <v>115</v>
      </c>
    </row>
    <row r="32" spans="1:14">
      <c r="B32" s="13" t="s">
        <v>111</v>
      </c>
    </row>
    <row r="33" spans="1:15">
      <c r="B33" t="s">
        <v>114</v>
      </c>
    </row>
    <row r="34" spans="1:15">
      <c r="B34" s="13" t="s">
        <v>112</v>
      </c>
    </row>
    <row r="35" spans="1:15">
      <c r="B35" t="s">
        <v>113</v>
      </c>
    </row>
    <row r="36" spans="1:15">
      <c r="B36" s="13" t="s">
        <v>116</v>
      </c>
    </row>
    <row r="37" spans="1:15">
      <c r="B37" t="s">
        <v>117</v>
      </c>
      <c r="I37" t="s">
        <v>121</v>
      </c>
    </row>
    <row r="38" spans="1:15">
      <c r="B38" s="20" t="s">
        <v>120</v>
      </c>
      <c r="I38" t="s">
        <v>122</v>
      </c>
    </row>
    <row r="39" spans="1:15">
      <c r="B39" s="13" t="s">
        <v>118</v>
      </c>
    </row>
    <row r="40" spans="1:15">
      <c r="B40" t="e">
        <v>#DIV/0!</v>
      </c>
      <c r="C40" t="s">
        <v>119</v>
      </c>
    </row>
    <row r="41" spans="1:15">
      <c r="B41" t="e">
        <v>#N/A</v>
      </c>
    </row>
    <row r="42" spans="1:15">
      <c r="B42" t="e">
        <v>#VALUE!</v>
      </c>
    </row>
    <row r="43" spans="1:15">
      <c r="B43" t="e">
        <v>#REF!</v>
      </c>
    </row>
    <row r="45" spans="1:15" ht="26" customHeight="1">
      <c r="A45" s="2" t="s">
        <v>0</v>
      </c>
      <c r="B45" s="2" t="s">
        <v>5</v>
      </c>
      <c r="C45" s="2" t="s">
        <v>59</v>
      </c>
      <c r="D45" s="2" t="s">
        <v>60</v>
      </c>
      <c r="E45" s="2" t="s">
        <v>61</v>
      </c>
      <c r="F45" s="2" t="s">
        <v>123</v>
      </c>
      <c r="G45" s="2" t="s">
        <v>9</v>
      </c>
      <c r="H45" s="2" t="s">
        <v>62</v>
      </c>
      <c r="I45" s="2" t="s">
        <v>124</v>
      </c>
      <c r="J45" s="17" t="s">
        <v>125</v>
      </c>
      <c r="K45" s="17" t="s">
        <v>126</v>
      </c>
      <c r="L45" s="17" t="s">
        <v>127</v>
      </c>
      <c r="M45" s="17" t="s">
        <v>128</v>
      </c>
      <c r="N45" s="17" t="s">
        <v>129</v>
      </c>
      <c r="O45" s="17" t="s">
        <v>130</v>
      </c>
    </row>
    <row r="46" spans="1:15">
      <c r="A46" s="5">
        <v>301</v>
      </c>
      <c r="B46" s="4" t="s">
        <v>13</v>
      </c>
      <c r="C46" s="4" t="s">
        <v>64</v>
      </c>
      <c r="D46" s="15">
        <v>72000000</v>
      </c>
      <c r="E46" s="15">
        <v>60000000</v>
      </c>
      <c r="F46" s="5">
        <v>24</v>
      </c>
      <c r="G46" s="5">
        <v>4.8</v>
      </c>
      <c r="H46" s="5">
        <v>1</v>
      </c>
      <c r="I46" s="5">
        <v>25</v>
      </c>
      <c r="J46" s="9" t="str">
        <f>IF(AND(D46&gt;=E46,G46&gt;=4.5,F46&gt;=20),"TOP PERFORMER", IF(D46&gt;=E46, "GOOD","NEED IMPROVEMENT"))</f>
        <v>TOP PERFORMER</v>
      </c>
      <c r="K46" s="9" t="str">
        <f>IF(OR(D46&lt;=E46*80%, G46&lt;4, H46&gt;=4), "WARNING", "SAFE")</f>
        <v>SAFE</v>
      </c>
      <c r="L46" s="9" t="str" cm="1">
        <f t="array" ref="L46">_xlfn.IFS(D46/E46&gt;=120%,"A", D46/E46&gt;=110%,"B",D46/E46&gt;=100%,"C", D46/E46&gt;=90%,"D",TRUE, "E")</f>
        <v>A</v>
      </c>
      <c r="M46" s="9" t="str" cm="1">
        <f t="array" ref="M46">_xlfn.IFS(AND(H46&gt;=4, G46&lt;4), "HIGH RISK", OR(H46&gt;=2, G46&lt;4.2, I46&lt;20), "MEDIUM RISK", TRUE, "LOW RISK")</f>
        <v>LOW RISK</v>
      </c>
      <c r="N46" s="9">
        <f>IF(AND(D46&gt;=E46, G46&gt;=4.5, H46&lt;=1), D46*5%, IF(AND(D46&gt;=E46*120%, F46&gt;=25), D46*3%, IF(D46&gt;=E46, D46*1%, 0)))</f>
        <v>3600000</v>
      </c>
      <c r="O46" s="9" t="str" cm="1">
        <f t="array" ref="O46">_xlfn.IFS(AND(L46="A", M46="LOW RISK", G46&gt;=4.7), "🥇 ELITE", AND(OR(L46="A", L46="B"), M46&lt;&gt;"HIGH RISK"), "🥈 HIGH PERFORMER", AND(OR(L46="C", L46="D"), M46&lt;&gt;"LOW RISK"), "🟡 STANDARD", OR(M46="MEDIUM RISK", G46&lt;4), "🟠 MONITOR", TRUE, "🔴 CRITICAL")</f>
        <v>🥇 ELITE</v>
      </c>
    </row>
    <row r="47" spans="1:15">
      <c r="A47" s="5">
        <v>302</v>
      </c>
      <c r="B47" s="4" t="s">
        <v>17</v>
      </c>
      <c r="C47" s="4" t="s">
        <v>67</v>
      </c>
      <c r="D47" s="15">
        <v>95000000</v>
      </c>
      <c r="E47" s="15">
        <v>100000000</v>
      </c>
      <c r="F47" s="5">
        <v>18</v>
      </c>
      <c r="G47" s="5">
        <v>4.4000000000000004</v>
      </c>
      <c r="H47" s="5">
        <v>2</v>
      </c>
      <c r="I47" s="5">
        <v>22</v>
      </c>
      <c r="J47" s="9" t="str">
        <f t="shared" ref="J47:J55" si="6">IF(AND(D47&gt;=E47,G47&gt;=4.5,F47&gt;=20),"TOP PERFORMER", IF(D47&gt;=E47, "GOOD","NEED IMPROVEMENT"))</f>
        <v>NEED IMPROVEMENT</v>
      </c>
      <c r="K47" s="9" t="str">
        <f t="shared" ref="K47:K55" si="7">IF(OR(D47&lt;=E47*80%, G47&lt;4, H47&gt;=4), "WARNING", "SAFE")</f>
        <v>SAFE</v>
      </c>
      <c r="L47" s="9" t="str" cm="1">
        <f t="array" ref="L47">_xlfn.IFS(D47/E47&gt;=120%,"A", D47/E47&gt;=110%,"B",D47/E47&gt;=100%,"C", D47/E47&gt;=90%,"D",TRUE, "E")</f>
        <v>D</v>
      </c>
      <c r="M47" s="9" t="str" cm="1">
        <f t="array" ref="M47">_xlfn.IFS(AND(H47&gt;=4, G47&lt;4), "HIGH RISK", OR(H47&gt;=2, G47&lt;4.2, I47&lt;20), "MEDIUM RISK", TRUE, "LOW RISK")</f>
        <v>MEDIUM RISK</v>
      </c>
      <c r="N47" s="9">
        <f t="shared" ref="N47:N55" si="8">IF(AND(D47&gt;=E47, G47&gt;=4.5, H47&lt;=1), D47*5%, IF(AND(D47&gt;=E47*120%, F47&gt;=25), D47*3%, IF(D47&gt;=E47, D47*1%, 0)))</f>
        <v>0</v>
      </c>
      <c r="O47" s="9" t="str" cm="1">
        <f t="array" ref="O47">_xlfn.IFS(AND(L47="A", M47="LOW RISK", G47&gt;=4.7), "🥇 ELITE", AND(OR(L47="A", L47="B"), M47&lt;&gt;"HIGH RISK"), "🥈 HIGH PERFORMER", AND(OR(L47="C", L47="D"), M47&lt;&gt;"LOW RISK"), "🟡 STANDARD", OR(M47="MEDIUM RISK", G47&lt;4), "🟠 MONITOR", TRUE, "🔴 CRITICAL")</f>
        <v>🟡 STANDARD</v>
      </c>
    </row>
    <row r="48" spans="1:15">
      <c r="A48" s="5">
        <v>303</v>
      </c>
      <c r="B48" s="4" t="s">
        <v>19</v>
      </c>
      <c r="C48" s="4" t="s">
        <v>64</v>
      </c>
      <c r="D48" s="15">
        <v>130000000</v>
      </c>
      <c r="E48" s="15">
        <v>100000000</v>
      </c>
      <c r="F48" s="5">
        <v>30</v>
      </c>
      <c r="G48" s="5">
        <v>4.9000000000000004</v>
      </c>
      <c r="H48" s="5">
        <v>0</v>
      </c>
      <c r="I48" s="5">
        <v>27</v>
      </c>
      <c r="J48" s="9" t="str">
        <f t="shared" si="6"/>
        <v>TOP PERFORMER</v>
      </c>
      <c r="K48" s="9" t="str">
        <f t="shared" si="7"/>
        <v>SAFE</v>
      </c>
      <c r="L48" s="9" t="str" cm="1">
        <f t="array" ref="L48">_xlfn.IFS(D48/E48&gt;=120%,"A", D48/E48&gt;=110%,"B",D48/E48&gt;=100%,"C", D48/E48&gt;=90%,"D",TRUE, "E")</f>
        <v>A</v>
      </c>
      <c r="M48" s="9" t="str" cm="1">
        <f t="array" ref="M48">_xlfn.IFS(AND(H48&gt;=4, G48&lt;4), "HIGH RISK", OR(H48&gt;=2, G48&lt;4.2, I48&lt;20), "MEDIUM RISK", TRUE, "LOW RISK")</f>
        <v>LOW RISK</v>
      </c>
      <c r="N48" s="9">
        <f t="shared" si="8"/>
        <v>6500000</v>
      </c>
      <c r="O48" s="9" t="str" cm="1">
        <f t="array" ref="O48">_xlfn.IFS(AND(L48="A", M48="LOW RISK", G48&gt;=4.7), "🥇 ELITE", AND(OR(L48="A", L48="B"), M48&lt;&gt;"HIGH RISK"), "🥈 HIGH PERFORMER", AND(OR(L48="C", L48="D"), M48&lt;&gt;"LOW RISK"), "🟡 STANDARD", OR(M48="MEDIUM RISK", G48&lt;4), "🟠 MONITOR", TRUE, "🔴 CRITICAL")</f>
        <v>🥇 ELITE</v>
      </c>
    </row>
    <row r="49" spans="1:15">
      <c r="A49" s="5">
        <v>304</v>
      </c>
      <c r="B49" s="4" t="s">
        <v>68</v>
      </c>
      <c r="C49" s="4" t="s">
        <v>67</v>
      </c>
      <c r="D49" s="15">
        <v>45000000</v>
      </c>
      <c r="E49" s="15">
        <v>60000000</v>
      </c>
      <c r="F49" s="5">
        <v>12</v>
      </c>
      <c r="G49" s="5">
        <v>3.7</v>
      </c>
      <c r="H49" s="5">
        <v>5</v>
      </c>
      <c r="I49" s="5">
        <v>18</v>
      </c>
      <c r="J49" s="9" t="str">
        <f t="shared" si="6"/>
        <v>NEED IMPROVEMENT</v>
      </c>
      <c r="K49" s="9" t="str">
        <f t="shared" si="7"/>
        <v>WARNING</v>
      </c>
      <c r="L49" s="9" t="str" cm="1">
        <f t="array" ref="L49">_xlfn.IFS(D49/E49&gt;=120%,"A", D49/E49&gt;=110%,"B",D49/E49&gt;=100%,"C", D49/E49&gt;=90%,"D",TRUE, "E")</f>
        <v>E</v>
      </c>
      <c r="M49" s="9" t="str" cm="1">
        <f t="array" ref="M49">_xlfn.IFS(AND(H49&gt;=4, G49&lt;4), "HIGH RISK", OR(H49&gt;=2, G49&lt;4.2, I49&lt;20), "MEDIUM RISK", TRUE, "LOW RISK")</f>
        <v>HIGH RISK</v>
      </c>
      <c r="N49" s="9">
        <f t="shared" si="8"/>
        <v>0</v>
      </c>
      <c r="O49" s="9" t="str" cm="1">
        <f t="array" ref="O49">_xlfn.IFS(AND(L49="A", M49="LOW RISK", G49&gt;=4.7), "🥇 ELITE", AND(OR(L49="A", L49="B"), M49&lt;&gt;"HIGH RISK"), "🥈 HIGH PERFORMER", AND(OR(L49="C", L49="D"), M49&lt;&gt;"LOW RISK"), "🟡 STANDARD", OR(M49="MEDIUM RISK", G49&lt;4), "🟠 MONITOR", TRUE, "🔴 CRITICAL")</f>
        <v>🟠 MONITOR</v>
      </c>
    </row>
    <row r="50" spans="1:15">
      <c r="A50" s="5">
        <v>305</v>
      </c>
      <c r="B50" s="4" t="s">
        <v>70</v>
      </c>
      <c r="C50" s="4" t="s">
        <v>64</v>
      </c>
      <c r="D50" s="15">
        <v>88000000</v>
      </c>
      <c r="E50" s="15">
        <v>80000000</v>
      </c>
      <c r="F50" s="5">
        <v>20</v>
      </c>
      <c r="G50" s="5">
        <v>4.5999999999999996</v>
      </c>
      <c r="H50" s="5">
        <v>1</v>
      </c>
      <c r="I50" s="5">
        <v>24</v>
      </c>
      <c r="J50" s="9" t="str">
        <f t="shared" si="6"/>
        <v>TOP PERFORMER</v>
      </c>
      <c r="K50" s="9" t="str">
        <f t="shared" si="7"/>
        <v>SAFE</v>
      </c>
      <c r="L50" s="9" t="str" cm="1">
        <f t="array" ref="L50">_xlfn.IFS(D50/E50&gt;=120%,"A", D50/E50&gt;=110%,"B",D50/E50&gt;=100%,"C", D50/E50&gt;=90%,"D",TRUE, "E")</f>
        <v>B</v>
      </c>
      <c r="M50" s="9" t="str" cm="1">
        <f t="array" ref="M50">_xlfn.IFS(AND(H50&gt;=4, G50&lt;4), "HIGH RISK", OR(H50&gt;=2, G50&lt;4.2, I50&lt;20), "MEDIUM RISK", TRUE, "LOW RISK")</f>
        <v>LOW RISK</v>
      </c>
      <c r="N50" s="9">
        <f t="shared" si="8"/>
        <v>4400000</v>
      </c>
      <c r="O50" s="9" t="str" cm="1">
        <f t="array" ref="O50">_xlfn.IFS(AND(L50="A", M50="LOW RISK", G50&gt;=4.7), "🥇 ELITE", AND(OR(L50="A", L50="B"), M50&lt;&gt;"HIGH RISK"), "🥈 HIGH PERFORMER", AND(OR(L50="C", L50="D"), M50&lt;&gt;"LOW RISK"), "🟡 STANDARD", OR(M50="MEDIUM RISK", G50&lt;4), "🟠 MONITOR", TRUE, "🔴 CRITICAL")</f>
        <v>🥈 HIGH PERFORMER</v>
      </c>
    </row>
    <row r="51" spans="1:15">
      <c r="A51" s="5">
        <v>306</v>
      </c>
      <c r="B51" s="4" t="s">
        <v>72</v>
      </c>
      <c r="C51" s="4" t="s">
        <v>67</v>
      </c>
      <c r="D51" s="15">
        <v>150000000</v>
      </c>
      <c r="E51" s="15">
        <v>140000000</v>
      </c>
      <c r="F51" s="5">
        <v>28</v>
      </c>
      <c r="G51" s="5">
        <v>4.3</v>
      </c>
      <c r="H51" s="5">
        <v>2</v>
      </c>
      <c r="I51" s="5">
        <v>26</v>
      </c>
      <c r="J51" s="9" t="str">
        <f t="shared" si="6"/>
        <v>GOOD</v>
      </c>
      <c r="K51" s="9" t="str">
        <f t="shared" si="7"/>
        <v>SAFE</v>
      </c>
      <c r="L51" s="9" t="str" cm="1">
        <f t="array" ref="L51">_xlfn.IFS(D51/E51&gt;=120%,"A", D51/E51&gt;=110%,"B",D51/E51&gt;=100%,"C", D51/E51&gt;=90%,"D",TRUE, "E")</f>
        <v>C</v>
      </c>
      <c r="M51" s="9" t="str" cm="1">
        <f t="array" ref="M51">_xlfn.IFS(AND(H51&gt;=4, G51&lt;4), "HIGH RISK", OR(H51&gt;=2, G51&lt;4.2, I51&lt;20), "MEDIUM RISK", TRUE, "LOW RISK")</f>
        <v>MEDIUM RISK</v>
      </c>
      <c r="N51" s="9">
        <f t="shared" si="8"/>
        <v>1500000</v>
      </c>
      <c r="O51" s="9" t="str" cm="1">
        <f t="array" ref="O51">_xlfn.IFS(AND(L51="A", M51="LOW RISK", G51&gt;=4.7), "🥇 ELITE", AND(OR(L51="A", L51="B"), M51&lt;&gt;"HIGH RISK"), "🥈 HIGH PERFORMER", AND(OR(L51="C", L51="D"), M51&lt;&gt;"LOW RISK"), "🟡 STANDARD", OR(M51="MEDIUM RISK", G51&lt;4), "🟠 MONITOR", TRUE, "🔴 CRITICAL")</f>
        <v>🟡 STANDARD</v>
      </c>
    </row>
    <row r="52" spans="1:15">
      <c r="A52" s="5">
        <v>307</v>
      </c>
      <c r="B52" s="4" t="s">
        <v>74</v>
      </c>
      <c r="C52" s="4" t="s">
        <v>64</v>
      </c>
      <c r="D52" s="15">
        <v>55000000</v>
      </c>
      <c r="E52" s="15">
        <v>70000000</v>
      </c>
      <c r="F52" s="5">
        <v>16</v>
      </c>
      <c r="G52" s="5">
        <v>4.0999999999999996</v>
      </c>
      <c r="H52" s="5">
        <v>3</v>
      </c>
      <c r="I52" s="5">
        <v>21</v>
      </c>
      <c r="J52" s="9" t="str">
        <f t="shared" si="6"/>
        <v>NEED IMPROVEMENT</v>
      </c>
      <c r="K52" s="9" t="str">
        <f t="shared" si="7"/>
        <v>WARNING</v>
      </c>
      <c r="L52" s="9" t="str" cm="1">
        <f t="array" ref="L52">_xlfn.IFS(D52/E52&gt;=120%,"A", D52/E52&gt;=110%,"B",D52/E52&gt;=100%,"C", D52/E52&gt;=90%,"D",TRUE, "E")</f>
        <v>E</v>
      </c>
      <c r="M52" s="9" t="str" cm="1">
        <f t="array" ref="M52">_xlfn.IFS(AND(H52&gt;=4, G52&lt;4), "HIGH RISK", OR(H52&gt;=2, G52&lt;4.2, I52&lt;20), "MEDIUM RISK", TRUE, "LOW RISK")</f>
        <v>MEDIUM RISK</v>
      </c>
      <c r="N52" s="9">
        <f t="shared" si="8"/>
        <v>0</v>
      </c>
      <c r="O52" s="9" t="str" cm="1">
        <f t="array" ref="O52">_xlfn.IFS(AND(L52="A", M52="LOW RISK", G52&gt;=4.7), "🥇 ELITE", AND(OR(L52="A", L52="B"), M52&lt;&gt;"HIGH RISK"), "🥈 HIGH PERFORMER", AND(OR(L52="C", L52="D"), M52&lt;&gt;"LOW RISK"), "🟡 STANDARD", OR(M52="MEDIUM RISK", G52&lt;4), "🟠 MONITOR", TRUE, "🔴 CRITICAL")</f>
        <v>🟠 MONITOR</v>
      </c>
    </row>
    <row r="53" spans="1:15">
      <c r="A53" s="5">
        <v>308</v>
      </c>
      <c r="B53" s="4" t="s">
        <v>75</v>
      </c>
      <c r="C53" s="4" t="s">
        <v>67</v>
      </c>
      <c r="D53" s="15">
        <v>110000000</v>
      </c>
      <c r="E53" s="15">
        <v>100000000</v>
      </c>
      <c r="F53" s="5">
        <v>22</v>
      </c>
      <c r="G53" s="5">
        <v>4.7</v>
      </c>
      <c r="H53" s="5">
        <v>0</v>
      </c>
      <c r="I53" s="5">
        <v>28</v>
      </c>
      <c r="J53" s="9" t="str">
        <f t="shared" si="6"/>
        <v>TOP PERFORMER</v>
      </c>
      <c r="K53" s="9" t="str">
        <f t="shared" si="7"/>
        <v>SAFE</v>
      </c>
      <c r="L53" s="9" t="str" cm="1">
        <f t="array" ref="L53">_xlfn.IFS(D53/E53&gt;=120%,"A", D53/E53&gt;=110%,"B",D53/E53&gt;=100%,"C", D53/E53&gt;=90%,"D",TRUE, "E")</f>
        <v>B</v>
      </c>
      <c r="M53" s="9" t="str" cm="1">
        <f t="array" ref="M53">_xlfn.IFS(AND(H53&gt;=4, G53&lt;4), "HIGH RISK", OR(H53&gt;=2, G53&lt;4.2, I53&lt;20), "MEDIUM RISK", TRUE, "LOW RISK")</f>
        <v>LOW RISK</v>
      </c>
      <c r="N53" s="9">
        <f t="shared" si="8"/>
        <v>5500000</v>
      </c>
      <c r="O53" s="9" t="str" cm="1">
        <f t="array" ref="O53">_xlfn.IFS(AND(L53="A", M53="LOW RISK", G53&gt;=4.7), "🥇 ELITE", AND(OR(L53="A", L53="B"), M53&lt;&gt;"HIGH RISK"), "🥈 HIGH PERFORMER", AND(OR(L53="C", L53="D"), M53&lt;&gt;"LOW RISK"), "🟡 STANDARD", OR(M53="MEDIUM RISK", G53&lt;4), "🟠 MONITOR", TRUE, "🔴 CRITICAL")</f>
        <v>🥈 HIGH PERFORMER</v>
      </c>
    </row>
    <row r="54" spans="1:15">
      <c r="A54" s="5">
        <v>309</v>
      </c>
      <c r="B54" s="4" t="s">
        <v>76</v>
      </c>
      <c r="C54" s="4" t="s">
        <v>64</v>
      </c>
      <c r="D54" s="15">
        <v>63000000</v>
      </c>
      <c r="E54" s="15">
        <v>60000000</v>
      </c>
      <c r="F54" s="5">
        <v>19</v>
      </c>
      <c r="G54" s="5">
        <v>3.9</v>
      </c>
      <c r="H54" s="5">
        <v>2</v>
      </c>
      <c r="I54" s="5">
        <v>23</v>
      </c>
      <c r="J54" s="9" t="str">
        <f t="shared" si="6"/>
        <v>GOOD</v>
      </c>
      <c r="K54" s="9" t="str">
        <f t="shared" si="7"/>
        <v>WARNING</v>
      </c>
      <c r="L54" s="9" t="str" cm="1">
        <f t="array" ref="L54">_xlfn.IFS(D54/E54&gt;=120%,"A", D54/E54&gt;=110%,"B",D54/E54&gt;=100%,"C", D54/E54&gt;=90%,"D",TRUE, "E")</f>
        <v>C</v>
      </c>
      <c r="M54" s="9" t="str" cm="1">
        <f t="array" ref="M54">_xlfn.IFS(AND(H54&gt;=4, G54&lt;4), "HIGH RISK", OR(H54&gt;=2, G54&lt;4.2, I54&lt;20), "MEDIUM RISK", TRUE, "LOW RISK")</f>
        <v>MEDIUM RISK</v>
      </c>
      <c r="N54" s="9">
        <f t="shared" si="8"/>
        <v>630000</v>
      </c>
      <c r="O54" s="9" t="str" cm="1">
        <f t="array" ref="O54">_xlfn.IFS(AND(L54="A", M54="LOW RISK", G54&gt;=4.7), "🥇 ELITE", AND(OR(L54="A", L54="B"), M54&lt;&gt;"HIGH RISK"), "🥈 HIGH PERFORMER", AND(OR(L54="C", L54="D"), M54&lt;&gt;"LOW RISK"), "🟡 STANDARD", OR(M54="MEDIUM RISK", G54&lt;4), "🟠 MONITOR", TRUE, "🔴 CRITICAL")</f>
        <v>🟡 STANDARD</v>
      </c>
    </row>
    <row r="55" spans="1:15">
      <c r="A55" s="5">
        <v>310</v>
      </c>
      <c r="B55" s="4" t="s">
        <v>77</v>
      </c>
      <c r="C55" s="4" t="s">
        <v>67</v>
      </c>
      <c r="D55" s="15">
        <v>180000000</v>
      </c>
      <c r="E55" s="15">
        <v>150000000</v>
      </c>
      <c r="F55" s="5">
        <v>35</v>
      </c>
      <c r="G55" s="5">
        <v>4.9000000000000004</v>
      </c>
      <c r="H55" s="5">
        <v>1</v>
      </c>
      <c r="I55" s="5">
        <v>29</v>
      </c>
      <c r="J55" s="9" t="str">
        <f t="shared" si="6"/>
        <v>TOP PERFORMER</v>
      </c>
      <c r="K55" s="9" t="str">
        <f t="shared" si="7"/>
        <v>SAFE</v>
      </c>
      <c r="L55" s="9" t="str" cm="1">
        <f t="array" ref="L55">_xlfn.IFS(D55/E55&gt;=120%,"A", D55/E55&gt;=110%,"B",D55/E55&gt;=100%,"C", D55/E55&gt;=90%,"D",TRUE, "E")</f>
        <v>A</v>
      </c>
      <c r="M55" s="9" t="str" cm="1">
        <f t="array" ref="M55">_xlfn.IFS(AND(H55&gt;=4, G55&lt;4), "HIGH RISK", OR(H55&gt;=2, G55&lt;4.2, I55&lt;20), "MEDIUM RISK", TRUE, "LOW RISK")</f>
        <v>LOW RISK</v>
      </c>
      <c r="N55" s="9">
        <f t="shared" si="8"/>
        <v>9000000</v>
      </c>
      <c r="O55" s="9" t="str" cm="1">
        <f t="array" ref="O55">_xlfn.IFS(AND(L55="A", M55="LOW RISK", G55&gt;=4.7), "🥇 ELITE", AND(OR(L55="A", L55="B"), M55&lt;&gt;"HIGH RISK"), "🥈 HIGH PERFORMER", AND(OR(L55="C", L55="D"), M55&lt;&gt;"LOW RISK"), "🟡 STANDARD", OR(M55="MEDIUM RISK", G55&lt;4), "🟠 MONITOR", TRUE, "🔴 CRITICAL")</f>
        <v>🥇 ELITE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E9E5-EFE1-41AB-92A1-191B4E83CB2C}">
  <dimension ref="A1:M31"/>
  <sheetViews>
    <sheetView topLeftCell="B1" zoomScale="90" zoomScaleNormal="90" workbookViewId="0">
      <selection activeCell="I5" sqref="I5"/>
    </sheetView>
  </sheetViews>
  <sheetFormatPr defaultRowHeight="14.5"/>
  <cols>
    <col min="1" max="1" width="17.08984375" customWidth="1"/>
    <col min="2" max="2" width="14.1796875" customWidth="1"/>
    <col min="3" max="3" width="15.26953125" customWidth="1"/>
    <col min="4" max="4" width="22.6328125" customWidth="1"/>
    <col min="5" max="5" width="10.6328125" bestFit="1" customWidth="1"/>
    <col min="6" max="6" width="18.6328125" bestFit="1" customWidth="1"/>
    <col min="7" max="7" width="16.6328125" bestFit="1" customWidth="1"/>
    <col min="8" max="8" width="28.36328125" bestFit="1" customWidth="1"/>
    <col min="9" max="9" width="31.26953125" bestFit="1" customWidth="1"/>
    <col min="10" max="10" width="15.36328125" customWidth="1"/>
    <col min="11" max="11" width="20.81640625" bestFit="1" customWidth="1"/>
    <col min="12" max="12" width="42.54296875" bestFit="1" customWidth="1"/>
    <col min="13" max="13" width="27.08984375" bestFit="1" customWidth="1"/>
  </cols>
  <sheetData>
    <row r="1" spans="1:13">
      <c r="A1" s="22" t="s">
        <v>131</v>
      </c>
      <c r="B1" s="22" t="str">
        <f>LEFT(C2,3)</f>
        <v>JKT</v>
      </c>
      <c r="C1" s="22" t="s">
        <v>133</v>
      </c>
      <c r="D1" s="22" t="s">
        <v>134</v>
      </c>
      <c r="E1" s="22" t="s">
        <v>4</v>
      </c>
      <c r="F1" s="22" t="s">
        <v>135</v>
      </c>
      <c r="G1" s="23" t="s">
        <v>178</v>
      </c>
      <c r="H1" s="23" t="s">
        <v>179</v>
      </c>
      <c r="I1" s="23" t="s">
        <v>180</v>
      </c>
      <c r="J1" s="23" t="s">
        <v>181</v>
      </c>
      <c r="K1" s="23" t="s">
        <v>182</v>
      </c>
      <c r="L1" s="23" t="s">
        <v>183</v>
      </c>
      <c r="M1" s="23" t="s">
        <v>184</v>
      </c>
    </row>
    <row r="2" spans="1:13">
      <c r="A2" s="4" t="s">
        <v>136</v>
      </c>
      <c r="B2" s="21" t="s">
        <v>137</v>
      </c>
      <c r="C2" s="21" t="s">
        <v>138</v>
      </c>
      <c r="D2" s="21" t="s">
        <v>139</v>
      </c>
      <c r="E2" s="4" t="s">
        <v>16</v>
      </c>
      <c r="F2" s="21" t="s">
        <v>140</v>
      </c>
      <c r="G2" s="9" t="str">
        <f>TRIM(B2)</f>
        <v>Budi Santoso</v>
      </c>
      <c r="H2" s="9" t="str" cm="1">
        <f t="array" ref="H2:H9">LEFT(C2:C9, 3)</f>
        <v>JKT</v>
      </c>
      <c r="I2" s="9" t="str">
        <f>MID(C2, 5, 3)</f>
        <v>REG</v>
      </c>
      <c r="J2" s="9" t="str">
        <f>RIGHT(C2,5)</f>
        <v>00125</v>
      </c>
      <c r="K2" s="9" t="str">
        <f>TRIM(_xlfn.CONCAT(B2,"-",MID(C2,1,3),"-",MID(C2,5,3)))</f>
        <v>Budi Santoso-JKT-REG</v>
      </c>
      <c r="L2" s="9" t="str">
        <f>_xlfn.TEXTJOIN("|", TRUE, A2,B2,F2)</f>
        <v>CUST-24001|Budi Santoso|TRX-2026-08-000125</v>
      </c>
      <c r="M2" s="9" t="str">
        <f>_xlfn.TEXTJOIN("-",TRUE,LEFT(C2,3),MID(C2,5,3),RIGHT(C2,5),TRIM(B2))</f>
        <v>JKT-REG-00125-Budi Santoso</v>
      </c>
    </row>
    <row r="3" spans="1:13">
      <c r="A3" s="4" t="s">
        <v>141</v>
      </c>
      <c r="B3" s="21" t="s">
        <v>142</v>
      </c>
      <c r="C3" s="21" t="s">
        <v>143</v>
      </c>
      <c r="D3" s="21" t="s">
        <v>144</v>
      </c>
      <c r="E3" s="4" t="s">
        <v>12</v>
      </c>
      <c r="F3" s="21" t="s">
        <v>145</v>
      </c>
      <c r="G3" s="9" t="str">
        <f t="shared" ref="G3:G9" si="0">TRIM(B3)</f>
        <v>Siti Rahmawati</v>
      </c>
      <c r="H3" s="9" t="str">
        <v>BDG</v>
      </c>
      <c r="I3" s="9" t="str">
        <f t="shared" ref="I3:I9" si="1">MID(C3, 5, 3)</f>
        <v>VIP</v>
      </c>
      <c r="J3" s="9" t="str">
        <f t="shared" ref="J3:J9" si="2">RIGHT(C3,5)</f>
        <v>00341</v>
      </c>
      <c r="K3" s="9" t="str">
        <f t="shared" ref="K3:K9" si="3">TRIM(_xlfn.CONCAT(B3,"-",MID(C3,1,3),"-",MID(C3,5,3)))</f>
        <v>Siti Rahmawati-BDG-VIP</v>
      </c>
      <c r="L3" s="9" t="str">
        <f>_xlfn.TEXTJOIN("|", TRUE, A3,B3,F3)</f>
        <v>CUST-24002|Siti Rahmawati|TRX-2026-08-000341</v>
      </c>
      <c r="M3" s="9" t="str">
        <f t="shared" ref="M3:M9" si="4">_xlfn.TEXTJOIN("-",TRUE,LEFT(C3,3),MID(C3,5,3),RIGHT(C3,5),TRIM(B3))</f>
        <v>BDG-VIP-00341-Siti Rahmawati</v>
      </c>
    </row>
    <row r="4" spans="1:13">
      <c r="A4" s="4" t="s">
        <v>146</v>
      </c>
      <c r="B4" s="21" t="s">
        <v>147</v>
      </c>
      <c r="C4" s="21" t="s">
        <v>148</v>
      </c>
      <c r="D4" s="21" t="s">
        <v>149</v>
      </c>
      <c r="E4" s="4" t="s">
        <v>150</v>
      </c>
      <c r="F4" s="21" t="s">
        <v>151</v>
      </c>
      <c r="G4" s="9" t="str">
        <f t="shared" si="0"/>
        <v>Andi Wijaya</v>
      </c>
      <c r="H4" s="9" t="str">
        <v>SBY</v>
      </c>
      <c r="I4" s="9" t="str">
        <f>MID(C4, 5, 3)</f>
        <v>REG</v>
      </c>
      <c r="J4" s="9" t="str">
        <f t="shared" si="2"/>
        <v>00782</v>
      </c>
      <c r="K4" s="9" t="str">
        <f t="shared" si="3"/>
        <v>Andi Wijaya-SBY-REG</v>
      </c>
      <c r="L4" s="9" t="str">
        <f t="shared" ref="L4:L9" si="5">_xlfn.TEXTJOIN("|", TRUE, A4,B4,F4)</f>
        <v>CUST-24003|Andi Wijaya|TRX-2026-08-000782</v>
      </c>
      <c r="M4" s="9" t="str">
        <f t="shared" si="4"/>
        <v>SBY-REG-00782-Andi Wijaya</v>
      </c>
    </row>
    <row r="5" spans="1:13">
      <c r="A5" s="4" t="s">
        <v>152</v>
      </c>
      <c r="B5" s="21" t="s">
        <v>153</v>
      </c>
      <c r="C5" s="21" t="s">
        <v>154</v>
      </c>
      <c r="D5" s="21" t="s">
        <v>155</v>
      </c>
      <c r="E5" s="4" t="s">
        <v>16</v>
      </c>
      <c r="F5" s="21" t="s">
        <v>156</v>
      </c>
      <c r="G5" s="9" t="str">
        <f t="shared" si="0"/>
        <v>Rina Marlina</v>
      </c>
      <c r="H5" s="9" t="str">
        <v>JKT</v>
      </c>
      <c r="I5" s="9" t="str">
        <f t="shared" si="1"/>
        <v>VIP</v>
      </c>
      <c r="J5" s="9" t="str">
        <f t="shared" si="2"/>
        <v>01246</v>
      </c>
      <c r="K5" s="9" t="str">
        <f t="shared" si="3"/>
        <v>Rina Marlina-JKT-VIP</v>
      </c>
      <c r="L5" s="9" t="str">
        <f t="shared" si="5"/>
        <v>CUST-24004|Rina Marlina|TRX-2026-08-001246</v>
      </c>
      <c r="M5" s="9" t="str">
        <f t="shared" si="4"/>
        <v>JKT-VIP-01246-Rina Marlina</v>
      </c>
    </row>
    <row r="6" spans="1:13">
      <c r="A6" s="4" t="s">
        <v>157</v>
      </c>
      <c r="B6" s="21" t="s">
        <v>158</v>
      </c>
      <c r="C6" s="21" t="s">
        <v>159</v>
      </c>
      <c r="D6" s="21" t="s">
        <v>160</v>
      </c>
      <c r="E6" s="4" t="s">
        <v>21</v>
      </c>
      <c r="F6" s="21" t="s">
        <v>161</v>
      </c>
      <c r="G6" s="9" t="str">
        <f t="shared" si="0"/>
        <v>Dewi Lestari</v>
      </c>
      <c r="H6" s="9" t="str">
        <v>BKS</v>
      </c>
      <c r="I6" s="9" t="str">
        <f t="shared" si="1"/>
        <v>REG</v>
      </c>
      <c r="J6" s="9" t="str">
        <f t="shared" si="2"/>
        <v>02031</v>
      </c>
      <c r="K6" s="9" t="str">
        <f t="shared" si="3"/>
        <v>Dewi Lestari-BKS-REG</v>
      </c>
      <c r="L6" s="9" t="str">
        <f t="shared" si="5"/>
        <v>CUST-24005|Dewi Lestari|TRX-2026-08-002031</v>
      </c>
      <c r="M6" s="9" t="str">
        <f t="shared" si="4"/>
        <v>BKS-REG-02031-Dewi Lestari</v>
      </c>
    </row>
    <row r="7" spans="1:13">
      <c r="A7" s="4" t="s">
        <v>162</v>
      </c>
      <c r="B7" s="21" t="s">
        <v>163</v>
      </c>
      <c r="C7" s="21" t="s">
        <v>164</v>
      </c>
      <c r="D7" s="21" t="s">
        <v>165</v>
      </c>
      <c r="E7" s="4" t="s">
        <v>166</v>
      </c>
      <c r="F7" s="21" t="s">
        <v>167</v>
      </c>
      <c r="G7" s="9" t="str">
        <f t="shared" si="0"/>
        <v>Fajar Nugroho</v>
      </c>
      <c r="H7" s="9" t="str">
        <v>TGR</v>
      </c>
      <c r="I7" s="9" t="str">
        <f t="shared" si="1"/>
        <v>VIP</v>
      </c>
      <c r="J7" s="9" t="str">
        <f t="shared" si="2"/>
        <v>03128</v>
      </c>
      <c r="K7" s="9" t="str">
        <f t="shared" si="3"/>
        <v>Fajar Nugroho-TGR-VIP</v>
      </c>
      <c r="L7" s="9" t="str">
        <f t="shared" si="5"/>
        <v>CUST-24006|Fajar Nugroho|TRX-2026-08-003128</v>
      </c>
      <c r="M7" s="9" t="str">
        <f t="shared" si="4"/>
        <v>TGR-VIP-03128-Fajar Nugroho</v>
      </c>
    </row>
    <row r="8" spans="1:13">
      <c r="A8" s="4" t="s">
        <v>168</v>
      </c>
      <c r="B8" s="21" t="s">
        <v>169</v>
      </c>
      <c r="C8" s="21" t="s">
        <v>170</v>
      </c>
      <c r="D8" s="21" t="s">
        <v>171</v>
      </c>
      <c r="E8" s="4" t="s">
        <v>16</v>
      </c>
      <c r="F8" s="21" t="s">
        <v>172</v>
      </c>
      <c r="G8" s="9" t="str">
        <f t="shared" si="0"/>
        <v>Yoga Pratama</v>
      </c>
      <c r="H8" s="9" t="str">
        <v>JKT</v>
      </c>
      <c r="I8" s="9" t="str">
        <f t="shared" si="1"/>
        <v>REG</v>
      </c>
      <c r="J8" s="9" t="str">
        <f t="shared" si="2"/>
        <v>04567</v>
      </c>
      <c r="K8" s="9" t="str">
        <f t="shared" si="3"/>
        <v>Yoga Pratama-JKT-REG</v>
      </c>
      <c r="L8" s="9" t="str">
        <f t="shared" si="5"/>
        <v>CUST-24007|Yoga Pratama|TRX-2026-08-004567</v>
      </c>
      <c r="M8" s="9" t="str">
        <f t="shared" si="4"/>
        <v>JKT-REG-04567-Yoga Pratama</v>
      </c>
    </row>
    <row r="9" spans="1:13">
      <c r="A9" s="4" t="s">
        <v>173</v>
      </c>
      <c r="B9" s="21" t="s">
        <v>174</v>
      </c>
      <c r="C9" s="21" t="s">
        <v>175</v>
      </c>
      <c r="D9" s="21" t="s">
        <v>176</v>
      </c>
      <c r="E9" s="4" t="s">
        <v>12</v>
      </c>
      <c r="F9" s="21" t="s">
        <v>177</v>
      </c>
      <c r="G9" s="9" t="str">
        <f t="shared" si="0"/>
        <v>Nanda Putri</v>
      </c>
      <c r="H9" s="9" t="str">
        <v>BDG</v>
      </c>
      <c r="I9" s="9" t="str">
        <f t="shared" si="1"/>
        <v>VIP</v>
      </c>
      <c r="J9" s="9" t="str">
        <f t="shared" si="2"/>
        <v>05192</v>
      </c>
      <c r="K9" s="9" t="str">
        <f t="shared" si="3"/>
        <v>Nanda Putri-BDG-VIP</v>
      </c>
      <c r="L9" s="9" t="str">
        <f t="shared" si="5"/>
        <v>CUST-24008|Nanda Putri|TRX-2026-08-005192</v>
      </c>
      <c r="M9" s="9" t="str">
        <f t="shared" si="4"/>
        <v>BDG-VIP-05192-Nanda Putri</v>
      </c>
    </row>
    <row r="11" spans="1:13" ht="29">
      <c r="A11" s="22" t="s">
        <v>0</v>
      </c>
      <c r="B11" s="22" t="s">
        <v>132</v>
      </c>
      <c r="C11" s="22" t="s">
        <v>185</v>
      </c>
      <c r="D11" s="22" t="s">
        <v>4</v>
      </c>
      <c r="E11" s="22" t="s">
        <v>186</v>
      </c>
      <c r="F11" s="23" t="s">
        <v>178</v>
      </c>
      <c r="G11" s="23" t="s">
        <v>205</v>
      </c>
      <c r="H11" s="23" t="s">
        <v>182</v>
      </c>
      <c r="I11" s="23" t="s">
        <v>206</v>
      </c>
    </row>
    <row r="12" spans="1:13" ht="25">
      <c r="A12" s="4">
        <v>101</v>
      </c>
      <c r="B12" s="21" t="s">
        <v>187</v>
      </c>
      <c r="C12" s="21" t="s">
        <v>188</v>
      </c>
      <c r="D12" s="4" t="s">
        <v>16</v>
      </c>
      <c r="E12" s="21" t="s">
        <v>189</v>
      </c>
      <c r="F12" s="9" t="str" cm="1">
        <f t="array" ref="F12:F17">TRIM(B12:B17)</f>
        <v>Andi Saputra</v>
      </c>
      <c r="G12" s="9" t="str">
        <f>_xlfn.TEXTJOIN(" - ",TRUE,LEFT(C12,3),MID(C12,5,3),RIGHT(C12,5))</f>
        <v>JKT - GOL - 00821</v>
      </c>
      <c r="H12" s="9" t="str">
        <f>_xlfn.TEXTJOIN(" | ", TRUE, TRIM(F12), TRIM(D12), MID(G12,7,3))</f>
        <v>Andi Saputra | Jakarta | GOL</v>
      </c>
      <c r="I12" s="9" t="str">
        <f>_xlfn.CONCAT(A12,"-",LEFT(C12,3),"-",MID(C12,5,3),"-", RIGHT(C12,5), "-",TRIM(B12))</f>
        <v>101-JKT-GOL-00821-Andi Saputra</v>
      </c>
    </row>
    <row r="13" spans="1:13" ht="25">
      <c r="A13" s="4">
        <v>102</v>
      </c>
      <c r="B13" s="21" t="s">
        <v>190</v>
      </c>
      <c r="C13" s="21" t="s">
        <v>191</v>
      </c>
      <c r="D13" s="4" t="s">
        <v>12</v>
      </c>
      <c r="E13" s="21" t="s">
        <v>192</v>
      </c>
      <c r="F13" s="9" t="str">
        <v>Salsa Maharani</v>
      </c>
      <c r="G13" s="9" t="str">
        <f t="shared" ref="G13:G17" si="6">_xlfn.TEXTJOIN(" - ",TRUE,LEFT(C13,3),MID(C13,5,3),RIGHT(C13,5))</f>
        <v>BDG - SLV - 01452</v>
      </c>
      <c r="H13" s="9" t="str">
        <f t="shared" ref="H13:H17" si="7">_xlfn.TEXTJOIN(" | ", TRUE, TRIM(F13), TRIM(D13), MID(G13,7,3))</f>
        <v>Salsa Maharani | Bandung | SLV</v>
      </c>
      <c r="I13" s="9" t="str">
        <f t="shared" ref="I13:I17" si="8">_xlfn.CONCAT(A13,"-",LEFT(C13,3),"-",MID(C13,5,3),"-", RIGHT(C13,5), "-",TRIM(B13))</f>
        <v>102-BDG-SLV-01452-Salsa Maharani</v>
      </c>
    </row>
    <row r="14" spans="1:13" ht="25">
      <c r="A14" s="4">
        <v>103</v>
      </c>
      <c r="B14" s="21" t="s">
        <v>193</v>
      </c>
      <c r="C14" s="21" t="s">
        <v>194</v>
      </c>
      <c r="D14" s="4" t="s">
        <v>150</v>
      </c>
      <c r="E14" s="21" t="s">
        <v>195</v>
      </c>
      <c r="F14" s="9" t="str">
        <v>Riko Pratama</v>
      </c>
      <c r="G14" s="9" t="str">
        <f t="shared" si="6"/>
        <v>SBY - GOL - 02137</v>
      </c>
      <c r="H14" s="9" t="str">
        <f t="shared" si="7"/>
        <v>Riko Pratama | Surabaya | GOL</v>
      </c>
      <c r="I14" s="9" t="str">
        <f t="shared" si="8"/>
        <v>103-SBY-GOL-02137-Riko Pratama</v>
      </c>
    </row>
    <row r="15" spans="1:13" ht="25">
      <c r="A15" s="4">
        <v>104</v>
      </c>
      <c r="B15" s="21" t="s">
        <v>196</v>
      </c>
      <c r="C15" s="21" t="s">
        <v>197</v>
      </c>
      <c r="D15" s="4" t="s">
        <v>16</v>
      </c>
      <c r="E15" s="21" t="s">
        <v>198</v>
      </c>
      <c r="F15" s="9" t="str">
        <v>Dina Lestari</v>
      </c>
      <c r="G15" s="9" t="str">
        <f t="shared" si="6"/>
        <v>JKT - PLT - 03218</v>
      </c>
      <c r="H15" s="9" t="str">
        <f t="shared" si="7"/>
        <v>Dina Lestari | Jakarta | PLT</v>
      </c>
      <c r="I15" s="9" t="str">
        <f t="shared" si="8"/>
        <v>104-JKT-PLT-03218-Dina Lestari</v>
      </c>
    </row>
    <row r="16" spans="1:13" ht="25">
      <c r="A16" s="4">
        <v>105</v>
      </c>
      <c r="B16" s="21" t="s">
        <v>199</v>
      </c>
      <c r="C16" s="21" t="s">
        <v>200</v>
      </c>
      <c r="D16" s="4" t="s">
        <v>21</v>
      </c>
      <c r="E16" s="21" t="s">
        <v>201</v>
      </c>
      <c r="F16" s="9" t="str">
        <v>Fajar Hidayat</v>
      </c>
      <c r="G16" s="9" t="str">
        <f t="shared" si="6"/>
        <v>BKS - SLV - 04529</v>
      </c>
      <c r="H16" s="9" t="str">
        <f t="shared" si="7"/>
        <v>Fajar Hidayat | Bekasi | SLV</v>
      </c>
      <c r="I16" s="9" t="str">
        <f t="shared" si="8"/>
        <v>105-BKS-SLV-04529-Fajar Hidayat</v>
      </c>
    </row>
    <row r="17" spans="1:9" ht="25">
      <c r="A17" s="4">
        <v>106</v>
      </c>
      <c r="B17" s="21" t="s">
        <v>202</v>
      </c>
      <c r="C17" s="21" t="s">
        <v>203</v>
      </c>
      <c r="D17" s="4" t="s">
        <v>166</v>
      </c>
      <c r="E17" s="21" t="s">
        <v>204</v>
      </c>
      <c r="F17" s="9" t="str">
        <v>Nina Permata</v>
      </c>
      <c r="G17" s="9" t="str">
        <f t="shared" si="6"/>
        <v>TGR - PLT - 05184</v>
      </c>
      <c r="H17" s="9" t="str">
        <f t="shared" si="7"/>
        <v>Nina Permata | Tangerang | PLT</v>
      </c>
      <c r="I17" s="9" t="str">
        <f t="shared" si="8"/>
        <v>106-TGR-PLT-05184-Nina Permata</v>
      </c>
    </row>
    <row r="19" spans="1:9">
      <c r="B19" s="27" t="s">
        <v>207</v>
      </c>
    </row>
    <row r="20" spans="1:9">
      <c r="B20" s="28" t="s">
        <v>208</v>
      </c>
      <c r="C20" s="13" t="s">
        <v>209</v>
      </c>
    </row>
    <row r="21" spans="1:9">
      <c r="B21" t="s">
        <v>210</v>
      </c>
    </row>
    <row r="22" spans="1:9">
      <c r="B22" s="13" t="s">
        <v>214</v>
      </c>
      <c r="C22" s="13" t="s">
        <v>211</v>
      </c>
    </row>
    <row r="23" spans="1:9">
      <c r="B23" t="s">
        <v>212</v>
      </c>
    </row>
    <row r="24" spans="1:9">
      <c r="B24" s="13" t="s">
        <v>213</v>
      </c>
      <c r="C24" s="13" t="s">
        <v>215</v>
      </c>
    </row>
    <row r="25" spans="1:9">
      <c r="B25" t="s">
        <v>216</v>
      </c>
    </row>
    <row r="26" spans="1:9">
      <c r="B26" s="13" t="s">
        <v>217</v>
      </c>
      <c r="C26" s="13" t="s">
        <v>218</v>
      </c>
    </row>
    <row r="27" spans="1:9">
      <c r="B27" t="s">
        <v>219</v>
      </c>
    </row>
    <row r="28" spans="1:9">
      <c r="B28" s="13" t="s">
        <v>220</v>
      </c>
      <c r="C28" s="13" t="s">
        <v>221</v>
      </c>
    </row>
    <row r="29" spans="1:9">
      <c r="B29" t="s">
        <v>222</v>
      </c>
    </row>
    <row r="30" spans="1:9">
      <c r="B30" s="13" t="s">
        <v>223</v>
      </c>
      <c r="C30" s="13" t="s">
        <v>224</v>
      </c>
    </row>
    <row r="31" spans="1:9">
      <c r="B31" t="s">
        <v>225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0AD4-89A4-4FC5-86F5-D80EA0970390}">
  <dimension ref="A1:P33"/>
  <sheetViews>
    <sheetView tabSelected="1" topLeftCell="C16" zoomScale="90" zoomScaleNormal="90" zoomScaleSheetLayoutView="100" workbookViewId="0">
      <selection activeCell="O29" sqref="O29"/>
    </sheetView>
  </sheetViews>
  <sheetFormatPr defaultRowHeight="14.5"/>
  <cols>
    <col min="1" max="1" width="7.90625" bestFit="1" customWidth="1"/>
    <col min="2" max="2" width="13.36328125" customWidth="1"/>
    <col min="3" max="3" width="14.08984375" customWidth="1"/>
    <col min="4" max="4" width="15.90625" customWidth="1"/>
    <col min="5" max="5" width="26.1796875" customWidth="1"/>
    <col min="6" max="6" width="15.6328125" bestFit="1" customWidth="1"/>
    <col min="7" max="7" width="19.453125" bestFit="1" customWidth="1"/>
    <col min="8" max="8" width="22.453125" bestFit="1" customWidth="1"/>
    <col min="9" max="9" width="21.81640625" bestFit="1" customWidth="1"/>
    <col min="10" max="10" width="15.453125" bestFit="1" customWidth="1"/>
    <col min="11" max="12" width="16" bestFit="1" customWidth="1"/>
    <col min="13" max="13" width="14.81640625" bestFit="1" customWidth="1"/>
    <col min="14" max="14" width="18.36328125" bestFit="1" customWidth="1"/>
    <col min="15" max="15" width="23.81640625" bestFit="1" customWidth="1"/>
    <col min="16" max="16" width="23.54296875" bestFit="1" customWidth="1"/>
  </cols>
  <sheetData>
    <row r="1" spans="1:16" ht="27" customHeight="1">
      <c r="A1" s="22" t="s">
        <v>0</v>
      </c>
      <c r="B1" s="22" t="s">
        <v>226</v>
      </c>
      <c r="C1" s="22" t="s">
        <v>227</v>
      </c>
      <c r="D1" s="22" t="s">
        <v>228</v>
      </c>
      <c r="E1" s="22" t="s">
        <v>229</v>
      </c>
      <c r="F1" s="22" t="s">
        <v>230</v>
      </c>
      <c r="G1" s="22" t="s">
        <v>231</v>
      </c>
      <c r="H1" s="23" t="s">
        <v>233</v>
      </c>
      <c r="I1" s="31" t="s">
        <v>234</v>
      </c>
      <c r="J1" s="22" t="s">
        <v>232</v>
      </c>
      <c r="K1" s="33" t="s">
        <v>235</v>
      </c>
      <c r="L1" s="23" t="s">
        <v>235</v>
      </c>
      <c r="M1" s="23" t="s">
        <v>236</v>
      </c>
      <c r="N1" s="23" t="s">
        <v>237</v>
      </c>
      <c r="O1" s="23" t="s">
        <v>238</v>
      </c>
      <c r="P1" s="23" t="s">
        <v>239</v>
      </c>
    </row>
    <row r="2" spans="1:16">
      <c r="A2" s="5">
        <v>101</v>
      </c>
      <c r="B2" s="4" t="s">
        <v>13</v>
      </c>
      <c r="C2" s="3">
        <v>44211</v>
      </c>
      <c r="D2" s="3">
        <v>45689</v>
      </c>
      <c r="E2" s="5">
        <v>12</v>
      </c>
      <c r="F2" s="3">
        <v>46070</v>
      </c>
      <c r="G2" s="4"/>
      <c r="H2" s="29">
        <f>EDATE(D2,E2)</f>
        <v>46054</v>
      </c>
      <c r="I2" s="32" t="str">
        <f>DATEDIF(C2,DATE(2026,12,31),"Y")&amp;" Tahun "&amp;DATEDIF(C2,DATE(2026,12,31),"YM")&amp;" Bulan "&amp;DATEDIF(C2,DATE(2026,12,31),"MD")&amp;" Hari"</f>
        <v>5 Tahun 11 Bulan 16 Hari</v>
      </c>
      <c r="J2" s="3">
        <v>46251</v>
      </c>
      <c r="K2" s="34" t="str">
        <f>DATEDIF(D2, F2, "M") &amp; "Bulan"</f>
        <v>12Bulan</v>
      </c>
      <c r="L2" s="9">
        <f>NETWORKDAYS(D2,F2,J2)</f>
        <v>272</v>
      </c>
      <c r="M2" s="9" t="str" cm="1">
        <f t="array" ref="M2">_xlfn.IFS(H2&lt;DATE(2026,12,31),"Berakhir", H2 =DATE(2026,12,31), "Berakhir Tahun Ini", TRUE, "Masih Aktif")</f>
        <v>Berakhir</v>
      </c>
      <c r="N2" s="9">
        <f>IF(F2&lt;=DATE(2026,12,31),0,DATEDIF(DATE(2026,12,31),F2,"M"))</f>
        <v>0</v>
      </c>
      <c r="O2" s="36">
        <f>EDATE(H2, -2)</f>
        <v>45992</v>
      </c>
      <c r="P2" s="9" t="str">
        <f>IF(NETWORKDAYS(DATE(2026,12,31), O2,J2) &gt;  0,"Lanjut","Sudah Lewat")</f>
        <v>Sudah Lewat</v>
      </c>
    </row>
    <row r="3" spans="1:16">
      <c r="A3" s="5">
        <v>102</v>
      </c>
      <c r="B3" s="4" t="s">
        <v>17</v>
      </c>
      <c r="C3" s="3">
        <v>44648</v>
      </c>
      <c r="D3" s="3">
        <v>45762</v>
      </c>
      <c r="E3" s="5">
        <v>18</v>
      </c>
      <c r="F3" s="3">
        <v>46315</v>
      </c>
      <c r="G3" s="4"/>
      <c r="H3" s="29">
        <f>EDATE(D3,E3)</f>
        <v>46310</v>
      </c>
      <c r="I3" s="32" t="str">
        <f t="shared" ref="I3:I6" si="0">DATEDIF(C3,DATE(2026,12,31),"Y")&amp;" Tahun "&amp;DATEDIF(C3,DATE(2026,12,31),"YM")&amp;" Bulan "&amp;DATEDIF(C3,DATE(2026,12,31),"MD")&amp;" Hari"</f>
        <v>4 Tahun 9 Bulan 3 Hari</v>
      </c>
      <c r="J3" s="3">
        <v>46259</v>
      </c>
      <c r="K3" s="34" t="str">
        <f t="shared" ref="K3:K6" si="1">DATEDIF(D3, F3, "M") &amp; "Bulan"</f>
        <v>18Bulan</v>
      </c>
      <c r="L3" s="9">
        <f t="shared" ref="L3:L6" si="2">NETWORKDAYS(D3,F3,J3)</f>
        <v>395</v>
      </c>
      <c r="M3" s="9" t="str" cm="1">
        <f t="array" ref="M3">_xlfn.IFS(H3&lt;DATE(2026,12,31),"Berakhir", H3 =DATE(2026,12,31), "Berakhir Tahun Ini", TRUE, "Masih Aktif")</f>
        <v>Berakhir</v>
      </c>
      <c r="N3" s="9">
        <f t="shared" ref="N3:N6" si="3">IF(F3&lt;=DATE(2026,12,31),0,DATEDIF(DATE(2026,12,31),F3,"M"))</f>
        <v>0</v>
      </c>
      <c r="O3" s="36">
        <f t="shared" ref="O3:O6" si="4">EDATE(H3, -2)</f>
        <v>46249</v>
      </c>
      <c r="P3" s="9" t="str">
        <f t="shared" ref="P3:P6" si="5">IF(NETWORKDAYS(DATE(2026,12,31), O3,J3) &gt;  0,"Lanjut","Sudah Lewat")</f>
        <v>Sudah Lewat</v>
      </c>
    </row>
    <row r="4" spans="1:16">
      <c r="A4" s="5">
        <v>103</v>
      </c>
      <c r="B4" s="4" t="s">
        <v>19</v>
      </c>
      <c r="C4" s="3">
        <v>45117</v>
      </c>
      <c r="D4" s="3">
        <v>45870</v>
      </c>
      <c r="E4" s="5">
        <v>6</v>
      </c>
      <c r="F4" s="3">
        <v>46067</v>
      </c>
      <c r="G4" s="4"/>
      <c r="H4" s="29">
        <f t="shared" ref="H4:H6" si="6">EDATE(D4,E4)</f>
        <v>46054</v>
      </c>
      <c r="I4" s="32" t="str">
        <f t="shared" si="0"/>
        <v>3 Tahun 5 Bulan 21 Hari</v>
      </c>
      <c r="J4" s="3">
        <v>46260</v>
      </c>
      <c r="K4" s="34" t="str">
        <f t="shared" si="1"/>
        <v>6Bulan</v>
      </c>
      <c r="L4" s="9">
        <f t="shared" si="2"/>
        <v>141</v>
      </c>
      <c r="M4" s="9" t="str" cm="1">
        <f t="array" ref="M4">_xlfn.IFS(H4&lt;DATE(2026,12,31),"Berakhir", H4 =DATE(2026,12,31), "Berakhir Tahun Ini", TRUE, "Masih Aktif")</f>
        <v>Berakhir</v>
      </c>
      <c r="N4" s="9">
        <f t="shared" si="3"/>
        <v>0</v>
      </c>
      <c r="O4" s="36">
        <f t="shared" si="4"/>
        <v>45992</v>
      </c>
      <c r="P4" s="9" t="str">
        <f t="shared" si="5"/>
        <v>Sudah Lewat</v>
      </c>
    </row>
    <row r="5" spans="1:16">
      <c r="A5" s="5">
        <v>104</v>
      </c>
      <c r="B5" s="4" t="s">
        <v>68</v>
      </c>
      <c r="C5" s="3">
        <v>44160</v>
      </c>
      <c r="D5" s="3">
        <v>46023</v>
      </c>
      <c r="E5" s="5">
        <v>12</v>
      </c>
      <c r="F5" s="3">
        <v>46387</v>
      </c>
      <c r="G5" s="4"/>
      <c r="H5" s="29">
        <f t="shared" si="6"/>
        <v>46388</v>
      </c>
      <c r="I5" s="32" t="str">
        <f t="shared" si="0"/>
        <v>6 Tahun 1 Bulan 6 Hari</v>
      </c>
      <c r="J5" s="3">
        <v>46266</v>
      </c>
      <c r="K5" s="35" t="str">
        <f t="shared" si="1"/>
        <v>11Bulan</v>
      </c>
      <c r="L5" s="9">
        <f t="shared" si="2"/>
        <v>260</v>
      </c>
      <c r="M5" s="9" t="str" cm="1">
        <f t="array" ref="M5">_xlfn.IFS(H5&lt;DATE(2026,12,31),"Berakhir", H5 =DATE(2026,12,31), "Berakhir Tahun Ini", TRUE, "Masih Aktif")</f>
        <v>Masih Aktif</v>
      </c>
      <c r="N5" s="9">
        <f t="shared" si="3"/>
        <v>0</v>
      </c>
      <c r="O5" s="36">
        <f t="shared" si="4"/>
        <v>46327</v>
      </c>
      <c r="P5" s="9" t="str">
        <f t="shared" si="5"/>
        <v>Sudah Lewat</v>
      </c>
    </row>
    <row r="6" spans="1:16">
      <c r="A6" s="5">
        <v>105</v>
      </c>
      <c r="B6" s="4" t="s">
        <v>70</v>
      </c>
      <c r="C6" s="3">
        <v>45327</v>
      </c>
      <c r="D6" s="3">
        <v>46063</v>
      </c>
      <c r="E6" s="5">
        <v>9</v>
      </c>
      <c r="F6" s="3">
        <v>46356</v>
      </c>
      <c r="G6" s="4"/>
      <c r="H6" s="29">
        <f t="shared" si="6"/>
        <v>46336</v>
      </c>
      <c r="I6" s="32" t="str">
        <f t="shared" si="0"/>
        <v>2 Tahun 10 Bulan 26 Hari</v>
      </c>
      <c r="J6" s="3">
        <v>46315</v>
      </c>
      <c r="K6" s="34" t="str">
        <f t="shared" si="1"/>
        <v>9Bulan</v>
      </c>
      <c r="L6" s="9">
        <f t="shared" si="2"/>
        <v>209</v>
      </c>
      <c r="M6" s="9" t="str" cm="1">
        <f t="array" ref="M6">_xlfn.IFS(H6&lt;DATE(2026,12,31),"Berakhir", H6 =DATE(2026,12,31), "Berakhir Tahun Ini", TRUE, "Masih Aktif")</f>
        <v>Berakhir</v>
      </c>
      <c r="N6" s="9">
        <f t="shared" si="3"/>
        <v>0</v>
      </c>
      <c r="O6" s="36">
        <f t="shared" si="4"/>
        <v>46275</v>
      </c>
      <c r="P6" s="9" t="str">
        <f t="shared" si="5"/>
        <v>Sudah Lewat</v>
      </c>
    </row>
    <row r="7" spans="1:16">
      <c r="I7" s="30"/>
      <c r="J7" s="37"/>
      <c r="K7" s="30"/>
      <c r="L7" s="30"/>
    </row>
    <row r="8" spans="1:16">
      <c r="A8" t="s">
        <v>240</v>
      </c>
      <c r="I8" s="30"/>
      <c r="J8" s="37"/>
      <c r="K8" s="30"/>
      <c r="L8" s="30"/>
    </row>
    <row r="9" spans="1:16">
      <c r="A9" s="13" t="s">
        <v>241</v>
      </c>
    </row>
    <row r="10" spans="1:16">
      <c r="A10" t="s">
        <v>242</v>
      </c>
    </row>
    <row r="12" spans="1:16">
      <c r="A12" s="13" t="s">
        <v>243</v>
      </c>
    </row>
    <row r="13" spans="1:16">
      <c r="A13" t="s">
        <v>244</v>
      </c>
    </row>
    <row r="15" spans="1:16">
      <c r="A15" s="13" t="s">
        <v>245</v>
      </c>
    </row>
    <row r="16" spans="1:16">
      <c r="A16" t="s">
        <v>246</v>
      </c>
    </row>
    <row r="18" spans="1:15">
      <c r="A18" s="13" t="s">
        <v>247</v>
      </c>
    </row>
    <row r="19" spans="1:15">
      <c r="A19" t="s">
        <v>248</v>
      </c>
    </row>
    <row r="20" spans="1:15">
      <c r="A20" t="s">
        <v>249</v>
      </c>
    </row>
    <row r="22" spans="1:15">
      <c r="A22" s="13" t="s">
        <v>250</v>
      </c>
    </row>
    <row r="23" spans="1:15">
      <c r="A23" t="s">
        <v>251</v>
      </c>
    </row>
    <row r="25" spans="1:15">
      <c r="A25" s="13" t="s">
        <v>252</v>
      </c>
    </row>
    <row r="26" spans="1:15">
      <c r="A26" t="s">
        <v>253</v>
      </c>
    </row>
    <row r="28" spans="1:15" ht="29">
      <c r="A28" s="22" t="s">
        <v>0</v>
      </c>
      <c r="B28" s="22" t="s">
        <v>254</v>
      </c>
      <c r="C28" s="22" t="s">
        <v>255</v>
      </c>
      <c r="D28" s="22" t="s">
        <v>229</v>
      </c>
      <c r="E28" s="22" t="s">
        <v>256</v>
      </c>
      <c r="F28" s="22" t="s">
        <v>230</v>
      </c>
      <c r="G28" s="23" t="s">
        <v>233</v>
      </c>
      <c r="H28" s="23" t="s">
        <v>267</v>
      </c>
      <c r="I28" s="23" t="s">
        <v>268</v>
      </c>
      <c r="J28" s="23" t="s">
        <v>235</v>
      </c>
      <c r="K28" s="23" t="s">
        <v>236</v>
      </c>
      <c r="L28" s="23" t="s">
        <v>269</v>
      </c>
      <c r="M28" s="23" t="s">
        <v>238</v>
      </c>
      <c r="N28" s="23" t="s">
        <v>270</v>
      </c>
      <c r="O28" s="23" t="s">
        <v>239</v>
      </c>
    </row>
    <row r="29" spans="1:15">
      <c r="A29" s="5" t="s">
        <v>257</v>
      </c>
      <c r="B29" s="4" t="s">
        <v>258</v>
      </c>
      <c r="C29" s="3">
        <v>46037</v>
      </c>
      <c r="D29" s="5">
        <v>12</v>
      </c>
      <c r="E29" s="3">
        <v>46042</v>
      </c>
      <c r="F29" s="3">
        <v>46344</v>
      </c>
      <c r="G29" s="36">
        <f>EDATE(C29,D29)</f>
        <v>46402</v>
      </c>
      <c r="H29" s="9" t="str">
        <f>DATEDIF(C29,DATE(2026,8,23),"Y") &amp; " Tahun " &amp; DATEDIF(C29,DATE(2026,8,23), "M") &amp; " Bulan " &amp; DATEDIF(C29, DATE(2026,8,23), "D") &amp; " Hari "</f>
        <v xml:space="preserve">0 Tahun 7 Bulan 220 Hari </v>
      </c>
      <c r="I29" s="9" t="str">
        <f>DATEDIF(C29,F29, "M") &amp; " Bulan "</f>
        <v xml:space="preserve">10 Bulan </v>
      </c>
      <c r="J29" s="9" t="str">
        <f>DATEDIF(C29,F29, "D") &amp; " Hari "</f>
        <v xml:space="preserve">307 Hari </v>
      </c>
      <c r="K29" s="9" t="str" cm="1">
        <f t="array" ref="K29">_xlfn.IFS(DATE(2026,8,23)&lt;C29,"Belum Dimulai",DATE(2026,8,23)&gt;G29,"Sudah Berakhir",TRUE,"Sedang Berjalan")</f>
        <v>Sedang Berjalan</v>
      </c>
      <c r="L29" s="9" t="str">
        <f>DATEDIF(DATE(2026, 8, 23), G29, "M") &amp; " Bulan"</f>
        <v>4 Bulan</v>
      </c>
      <c r="M29" s="36">
        <f>EDATE(G29, -3)</f>
        <v>46310</v>
      </c>
      <c r="N29" s="9" t="str" cm="1">
        <f t="array" ref="N29">_xlfn.IFS(M29 &lt; DATE(2026, 8, 23), "Evaluasi Terlewat", M29 &gt; DATE(2026, 8, 23), "Evaluasi Mendatang", M29 = DATE(2026, 8, 23), "Evaluasi Hari Ini")</f>
        <v>Evaluasi Mendatang</v>
      </c>
      <c r="O29" s="9" t="str">
        <f>IF(M29 &lt; DATE(2026, 8, 23), "Sudah Lewat", NETWORKDAYS(DATE(2026, 8, 23), M29, $S$2:$S$8) &amp; " Hari Kerja")</f>
        <v>39 Hari Kerja</v>
      </c>
    </row>
    <row r="30" spans="1:15">
      <c r="A30" s="5" t="s">
        <v>259</v>
      </c>
      <c r="B30" s="4" t="s">
        <v>260</v>
      </c>
      <c r="C30" s="3">
        <v>46082</v>
      </c>
      <c r="D30" s="5">
        <v>9</v>
      </c>
      <c r="E30" s="3">
        <v>46091</v>
      </c>
      <c r="F30" s="3">
        <v>46376</v>
      </c>
      <c r="G30" s="36">
        <f t="shared" ref="G30:G33" si="7">EDATE(C30,D30)</f>
        <v>46357</v>
      </c>
      <c r="H30" s="9" t="str">
        <f t="shared" ref="H30:H33" si="8">DATEDIF(C30,DATE(2026,8,23),"Y") &amp; " Tahun " &amp; DATEDIF(C30,DATE(2026,8,23), "M") &amp; " Bulan " &amp; DATEDIF(C30, DATE(2026,8,23), "D") &amp; " Hari "</f>
        <v xml:space="preserve">0 Tahun 5 Bulan 175 Hari </v>
      </c>
      <c r="I30" s="9" t="str">
        <f t="shared" ref="I30:I33" si="9">DATEDIF(C30,F30, "M") &amp; " Bulan "</f>
        <v xml:space="preserve">9 Bulan </v>
      </c>
      <c r="J30" s="9" t="str">
        <f t="shared" ref="J30:J33" si="10">DATEDIF(C30,F30, "D") &amp; " Hari "</f>
        <v xml:space="preserve">294 Hari </v>
      </c>
      <c r="K30" s="9" t="str" cm="1">
        <f t="array" ref="K30">_xlfn.IFS(DATE(2026,8,23)&lt;C30,"Belum Dimulai",DATE(2026,8,23)&gt;G30,"Sudah Berakhir",TRUE,"Sedang Berjalan")</f>
        <v>Sedang Berjalan</v>
      </c>
      <c r="L30" s="9" t="str">
        <f t="shared" ref="L29:L32" si="11">DATEDIF(DATE(2026, 8, 23), G30, "M") &amp; " Bulan"</f>
        <v>3 Bulan</v>
      </c>
      <c r="M30" s="36">
        <f t="shared" ref="M30:M33" si="12">EDATE(G30, -3)</f>
        <v>46266</v>
      </c>
      <c r="N30" s="9" t="str" cm="1">
        <f t="array" ref="N30">_xlfn.IFS(M30 &lt; DATE(2026, 8, 23), "Evaluasi Terlewat", M30 &gt; DATE(2026, 8, 23), "Evaluasi Mendatang", M30 = DATE(2026, 8, 23), "Evaluasi Hari Ini")</f>
        <v>Evaluasi Mendatang</v>
      </c>
      <c r="O30" s="9" t="str">
        <f t="shared" ref="O30:O33" si="13">IF(M30 &lt; DATE(2026, 8, 23), "Sudah Lewat", NETWORKDAYS(DATE(2026, 8, 23), M30, $S$2:$S$8) &amp; " Hari Kerja")</f>
        <v>7 Hari Kerja</v>
      </c>
    </row>
    <row r="31" spans="1:15">
      <c r="A31" s="5" t="s">
        <v>261</v>
      </c>
      <c r="B31" s="4" t="s">
        <v>262</v>
      </c>
      <c r="C31" s="3">
        <v>46078</v>
      </c>
      <c r="D31" s="5">
        <v>18</v>
      </c>
      <c r="E31" s="3">
        <v>46082</v>
      </c>
      <c r="F31" s="3">
        <v>46614</v>
      </c>
      <c r="G31" s="36">
        <f t="shared" si="7"/>
        <v>46624</v>
      </c>
      <c r="H31" s="9" t="str">
        <f t="shared" si="8"/>
        <v xml:space="preserve">0 Tahun 5 Bulan 179 Hari </v>
      </c>
      <c r="I31" s="9" t="str">
        <f t="shared" si="9"/>
        <v xml:space="preserve">17 Bulan </v>
      </c>
      <c r="J31" s="9" t="str">
        <f t="shared" si="10"/>
        <v xml:space="preserve">536 Hari </v>
      </c>
      <c r="K31" s="9" t="str" cm="1">
        <f t="array" ref="K31">_xlfn.IFS(DATE(2026,8,23)&lt;C31,"Belum Dimulai",DATE(2026,8,23)&gt;G31,"Sudah Berakhir",TRUE,"Sedang Berjalan")</f>
        <v>Sedang Berjalan</v>
      </c>
      <c r="L31" s="9" t="str">
        <f t="shared" si="11"/>
        <v>12 Bulan</v>
      </c>
      <c r="M31" s="36">
        <f t="shared" si="12"/>
        <v>46532</v>
      </c>
      <c r="N31" s="9" t="str" cm="1">
        <f t="array" ref="N31">_xlfn.IFS(M31 &lt; DATE(2026, 8, 23), "Evaluasi Terlewat", M31 &gt; DATE(2026, 8, 23), "Evaluasi Mendatang", M31 = DATE(2026, 8, 23), "Evaluasi Hari Ini")</f>
        <v>Evaluasi Mendatang</v>
      </c>
      <c r="O31" s="9" t="str">
        <f t="shared" si="13"/>
        <v>197 Hari Kerja</v>
      </c>
    </row>
    <row r="32" spans="1:15">
      <c r="A32" s="5" t="s">
        <v>263</v>
      </c>
      <c r="B32" s="4" t="s">
        <v>264</v>
      </c>
      <c r="C32" s="3">
        <v>46152</v>
      </c>
      <c r="D32" s="5">
        <v>6</v>
      </c>
      <c r="E32" s="3">
        <v>46157</v>
      </c>
      <c r="F32" s="3">
        <v>46325</v>
      </c>
      <c r="G32" s="36">
        <f t="shared" si="7"/>
        <v>46336</v>
      </c>
      <c r="H32" s="9" t="str">
        <f t="shared" si="8"/>
        <v xml:space="preserve">0 Tahun 3 Bulan 105 Hari </v>
      </c>
      <c r="I32" s="9" t="str">
        <f t="shared" si="9"/>
        <v xml:space="preserve">5 Bulan </v>
      </c>
      <c r="J32" s="9" t="str">
        <f t="shared" si="10"/>
        <v xml:space="preserve">173 Hari </v>
      </c>
      <c r="K32" s="9" t="str" cm="1">
        <f t="array" ref="K32">_xlfn.IFS(DATE(2026,8,23)&lt;C32,"Belum Dimulai",DATE(2026,8,23)&gt;G32,"Sudah Berakhir",TRUE,"Sedang Berjalan")</f>
        <v>Sedang Berjalan</v>
      </c>
      <c r="L32" s="9" t="str">
        <f t="shared" si="11"/>
        <v>2 Bulan</v>
      </c>
      <c r="M32" s="36">
        <f t="shared" si="12"/>
        <v>46244</v>
      </c>
      <c r="N32" s="9" t="str" cm="1">
        <f t="array" ref="N32">_xlfn.IFS(M32 &lt; DATE(2026, 8, 23), "Evaluasi Terlewat", M32 &gt; DATE(2026, 8, 23), "Evaluasi Mendatang", M32 = DATE(2026, 8, 23), "Evaluasi Hari Ini")</f>
        <v>Evaluasi Terlewat</v>
      </c>
      <c r="O32" s="9" t="str">
        <f t="shared" si="13"/>
        <v>Sudah Lewat</v>
      </c>
    </row>
    <row r="33" spans="1:15">
      <c r="A33" s="5" t="s">
        <v>265</v>
      </c>
      <c r="B33" s="4" t="s">
        <v>266</v>
      </c>
      <c r="C33" s="3">
        <v>46223</v>
      </c>
      <c r="D33" s="5">
        <v>15</v>
      </c>
      <c r="E33" s="3">
        <v>46235</v>
      </c>
      <c r="F33" s="3">
        <v>46655</v>
      </c>
      <c r="G33" s="36">
        <f t="shared" si="7"/>
        <v>46680</v>
      </c>
      <c r="H33" s="9" t="str">
        <f t="shared" si="8"/>
        <v xml:space="preserve">0 Tahun 1 Bulan 34 Hari </v>
      </c>
      <c r="I33" s="9" t="str">
        <f t="shared" si="9"/>
        <v xml:space="preserve">14 Bulan </v>
      </c>
      <c r="J33" s="9" t="str">
        <f t="shared" si="10"/>
        <v xml:space="preserve">432 Hari </v>
      </c>
      <c r="K33" s="9" t="str" cm="1">
        <f t="array" ref="K33">_xlfn.IFS(DATE(2026,8,23)&lt;C33,"Belum Dimulai",DATE(2026,8,23)&gt;G33,"Sudah Berakhir",TRUE,"Sedang Berjalan")</f>
        <v>Sedang Berjalan</v>
      </c>
      <c r="L33" s="9" t="str">
        <f>DATEDIF(DATE(2026, 8, 23), G33, "M") &amp; " Bulan"</f>
        <v>13 Bulan</v>
      </c>
      <c r="M33" s="36">
        <f t="shared" si="12"/>
        <v>46588</v>
      </c>
      <c r="N33" s="9" t="str" cm="1">
        <f t="array" ref="N33">_xlfn.IFS(M33 &lt; DATE(2026, 8, 23), "Evaluasi Terlewat", M33 &gt; DATE(2026, 8, 23), "Evaluasi Mendatang", M33 = DATE(2026, 8, 23), "Evaluasi Hari Ini")</f>
        <v>Evaluasi Mendatang</v>
      </c>
      <c r="O33" s="9" t="str">
        <f t="shared" si="13"/>
        <v>237 Hari Kerja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Mathematical &amp; statistical func</vt:lpstr>
      <vt:lpstr>Logical function</vt:lpstr>
      <vt:lpstr>Function of the text</vt:lpstr>
      <vt:lpstr>Date &amp; time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Tambunan</dc:creator>
  <cp:lastModifiedBy>Samuel Tambunan</cp:lastModifiedBy>
  <dcterms:created xsi:type="dcterms:W3CDTF">2026-08-17T12:49:36Z</dcterms:created>
  <dcterms:modified xsi:type="dcterms:W3CDTF">2026-08-23T16:10:17Z</dcterms:modified>
</cp:coreProperties>
</file>