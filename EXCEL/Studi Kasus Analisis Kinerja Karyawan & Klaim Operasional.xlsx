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uel Tambunan\Documents\DATA ANALYST LEARNING\EXCEL\"/>
    </mc:Choice>
  </mc:AlternateContent>
  <xr:revisionPtr revIDLastSave="0" documentId="8_{300BCD77-0368-4639-959A-DC77F1FE8B56}" xr6:coauthVersionLast="47" xr6:coauthVersionMax="47" xr10:uidLastSave="{00000000-0000-0000-0000-000000000000}"/>
  <bookViews>
    <workbookView xWindow="-110" yWindow="-110" windowWidth="19420" windowHeight="10300" xr2:uid="{4D224ABD-9D1A-4A59-996E-CD051DB4F2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7" i="1" l="1"/>
  <c r="B15" i="1"/>
  <c r="B14" i="1"/>
  <c r="B13" i="1"/>
  <c r="V3" i="1"/>
  <c r="V5" i="1"/>
  <c r="V11" i="1"/>
  <c r="U3" i="1"/>
  <c r="U4" i="1"/>
  <c r="V4" i="1" s="1"/>
  <c r="U5" i="1"/>
  <c r="U8" i="1"/>
  <c r="V8" i="1" s="1"/>
  <c r="U9" i="1"/>
  <c r="V9" i="1" s="1"/>
  <c r="U11" i="1"/>
  <c r="U2" i="1"/>
  <c r="V2" i="1" s="1"/>
  <c r="S3" i="1"/>
  <c r="T3" i="1" s="1" a="1"/>
  <c r="T3" i="1" s="1"/>
  <c r="S4" i="1"/>
  <c r="S5" i="1"/>
  <c r="S6" i="1"/>
  <c r="U6" i="1" s="1"/>
  <c r="V6" i="1" s="1"/>
  <c r="S7" i="1"/>
  <c r="T7" i="1" s="1" a="1"/>
  <c r="T7" i="1" s="1"/>
  <c r="S8" i="1"/>
  <c r="T8" i="1" s="1" a="1"/>
  <c r="T8" i="1" s="1"/>
  <c r="S9" i="1"/>
  <c r="T9" i="1" s="1" a="1"/>
  <c r="T9" i="1" s="1"/>
  <c r="S10" i="1"/>
  <c r="T10" i="1" s="1" a="1"/>
  <c r="T10" i="1" s="1"/>
  <c r="S11" i="1"/>
  <c r="S2" i="1"/>
  <c r="T4" i="1" a="1"/>
  <c r="T4" i="1"/>
  <c r="T5" i="1" a="1"/>
  <c r="T5" i="1" s="1"/>
  <c r="T6" i="1" a="1"/>
  <c r="T6" i="1" s="1"/>
  <c r="T11" i="1" a="1"/>
  <c r="T11" i="1" s="1"/>
  <c r="T2" i="1" a="1"/>
  <c r="T2" i="1" s="1"/>
  <c r="B16" i="1" s="1"/>
  <c r="R3" i="1"/>
  <c r="R4" i="1"/>
  <c r="R5" i="1"/>
  <c r="R6" i="1"/>
  <c r="R7" i="1"/>
  <c r="R8" i="1"/>
  <c r="R9" i="1"/>
  <c r="R10" i="1"/>
  <c r="R11" i="1"/>
  <c r="R2" i="1"/>
  <c r="Q2" i="1"/>
  <c r="Q3" i="1"/>
  <c r="Q4" i="1"/>
  <c r="Q5" i="1"/>
  <c r="Q6" i="1"/>
  <c r="Q7" i="1"/>
  <c r="Q8" i="1"/>
  <c r="Q9" i="1"/>
  <c r="Q10" i="1"/>
  <c r="Q11" i="1"/>
  <c r="P11" i="1"/>
  <c r="P3" i="1"/>
  <c r="P4" i="1"/>
  <c r="P5" i="1"/>
  <c r="P6" i="1"/>
  <c r="P7" i="1"/>
  <c r="P8" i="1"/>
  <c r="P9" i="1"/>
  <c r="P10" i="1"/>
  <c r="P2" i="1"/>
  <c r="O3" i="1"/>
  <c r="O4" i="1"/>
  <c r="O5" i="1"/>
  <c r="O6" i="1"/>
  <c r="O7" i="1"/>
  <c r="O8" i="1"/>
  <c r="O9" i="1"/>
  <c r="O10" i="1"/>
  <c r="O11" i="1"/>
  <c r="O2" i="1"/>
  <c r="N8" i="1"/>
  <c r="N9" i="1"/>
  <c r="M3" i="1"/>
  <c r="N3" i="1" s="1"/>
  <c r="M4" i="1"/>
  <c r="N4" i="1" s="1"/>
  <c r="M5" i="1"/>
  <c r="N5" i="1" s="1"/>
  <c r="M6" i="1"/>
  <c r="N6" i="1" s="1"/>
  <c r="M7" i="1"/>
  <c r="N7" i="1" s="1"/>
  <c r="M8" i="1"/>
  <c r="M9" i="1"/>
  <c r="M10" i="1"/>
  <c r="N10" i="1" s="1"/>
  <c r="M11" i="1"/>
  <c r="N11" i="1" s="1"/>
  <c r="M2" i="1"/>
  <c r="N2" i="1" s="1"/>
  <c r="L4" i="1"/>
  <c r="L5" i="1"/>
  <c r="L9" i="1"/>
  <c r="L2" i="1"/>
  <c r="K3" i="1"/>
  <c r="L3" i="1" s="1"/>
  <c r="K4" i="1"/>
  <c r="K5" i="1"/>
  <c r="K6" i="1"/>
  <c r="L6" i="1" s="1"/>
  <c r="K7" i="1"/>
  <c r="L7" i="1" s="1"/>
  <c r="K8" i="1"/>
  <c r="L8" i="1" s="1"/>
  <c r="K9" i="1"/>
  <c r="K10" i="1"/>
  <c r="L10" i="1" s="1"/>
  <c r="K11" i="1"/>
  <c r="L11" i="1" s="1"/>
  <c r="K2" i="1"/>
  <c r="U10" i="1" l="1"/>
  <c r="V10" i="1" s="1"/>
  <c r="U7" i="1"/>
  <c r="V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<sst xmlns="http://schemas.openxmlformats.org/spreadsheetml/2006/main" count="77" uniqueCount="59">
  <si>
    <t>ID</t>
  </si>
  <si>
    <t>Nama Lengkap</t>
  </si>
  <si>
    <t>Kode Cabang</t>
  </si>
  <si>
    <t>Tgl Masuk</t>
  </si>
  <si>
    <t>Tgl Klaim</t>
  </si>
  <si>
    <t>Gaji Pokok</t>
  </si>
  <si>
    <t>Total Klaim</t>
  </si>
  <si>
    <t>Jumlah Klaim</t>
  </si>
  <si>
    <t>Status Kehadiran</t>
  </si>
  <si>
    <t>Keterangan</t>
  </si>
  <si>
    <t>EMP001</t>
  </si>
  <si>
    <t>Samuel Tambunan</t>
  </si>
  <si>
    <t>BDG-JBR-01</t>
  </si>
  <si>
    <t>Baik</t>
  </si>
  <si>
    <t>Transport &amp; Makan</t>
  </si>
  <si>
    <t>EMP002</t>
  </si>
  <si>
    <t>Andi Pratama</t>
  </si>
  <si>
    <t>JKT-DKI-02</t>
  </si>
  <si>
    <t>Transport</t>
  </si>
  <si>
    <t>EMP003</t>
  </si>
  <si>
    <t>Sinta Maharani</t>
  </si>
  <si>
    <t>SBY-JTM-01</t>
  </si>
  <si>
    <t>Kurang</t>
  </si>
  <si>
    <t>Transport &amp; Hotel</t>
  </si>
  <si>
    <t>EMP004</t>
  </si>
  <si>
    <t>Budi Santoso</t>
  </si>
  <si>
    <t>BDO-JBR-02</t>
  </si>
  <si>
    <t>Dinas Luar</t>
  </si>
  <si>
    <t>EMP005</t>
  </si>
  <si>
    <t>Rina Amelia</t>
  </si>
  <si>
    <t>TGR-BTN-03</t>
  </si>
  <si>
    <t>EMP006</t>
  </si>
  <si>
    <t>Fajar Nugroho</t>
  </si>
  <si>
    <t>EMP007</t>
  </si>
  <si>
    <t>Dinda Lestari</t>
  </si>
  <si>
    <t>Makan</t>
  </si>
  <si>
    <t>EMP008</t>
  </si>
  <si>
    <t>Kevin Wijaya</t>
  </si>
  <si>
    <t>EMP009</t>
  </si>
  <si>
    <t>Putri Ananda</t>
  </si>
  <si>
    <t>EMP010</t>
  </si>
  <si>
    <t>Yoga Saputra</t>
  </si>
  <si>
    <t>Nama Bersih</t>
  </si>
  <si>
    <t>Inisial</t>
  </si>
  <si>
    <t>Tahun Masuk</t>
  </si>
  <si>
    <t>Kode Pegawai</t>
  </si>
  <si>
    <t>Masa Kerja</t>
  </si>
  <si>
    <t>Tanggal Evaluasi</t>
  </si>
  <si>
    <t>Hari Kerja Proses Klaim</t>
  </si>
  <si>
    <t>Rata-rata Klaim per Transaksi</t>
  </si>
  <si>
    <t>Rasio Klaim terhadap Gaji</t>
  </si>
  <si>
    <t>Kategori Klaim</t>
  </si>
  <si>
    <t>Status Evaluasi</t>
  </si>
  <si>
    <t>Bonus Kinerja</t>
  </si>
  <si>
    <t>Total Klaim Seluruh Karyawan</t>
  </si>
  <si>
    <t>Rata-rata Gaji</t>
  </si>
  <si>
    <t>Jumlah Karyawan</t>
  </si>
  <si>
    <t>Jumlah Karyawan dengan Klaim Tinggi</t>
  </si>
  <si>
    <t>Total Klaim Cabang Jakarta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</si>
</sst>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p&quot;* #,##0.00_-;\-&quot;Rp&quot;* #,##0.00_-;_-&quot;Rp&quot;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/>
    <xf numFmtId="44" fontId="0" fillId="0" borderId="1" xfId="0" applyNumberFormat="1" applyBorder="1"/>
    <xf numFmtId="14" fontId="0" fillId="0" borderId="1" xfId="0" applyNumberFormat="1" applyBorder="1"/>
    <xf numFmtId="1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87C23-159D-42FF-A5A4-95C0AFFC35DF}">
  <dimension ref="A1:V17"/>
  <sheetViews>
    <sheetView tabSelected="1" zoomScale="90" zoomScaleNormal="90" workbookViewId="0">
      <selection activeCell="B19" sqref="B19"/>
    </sheetView>
  </sheetViews>
  <sheetFormatPr defaultColWidth="18" defaultRowHeight="14.5" x14ac:dyDescent="0.35"/>
  <cols>
    <col min="1" max="1" width="33.453125" bestFit="1" customWidth="1"/>
    <col min="14" max="14" width="24.90625" bestFit="1" customWidth="1"/>
    <col min="17" max="17" width="20.36328125" bestFit="1" customWidth="1"/>
    <col min="18" max="18" width="26.08984375" bestFit="1" customWidth="1"/>
    <col min="19" max="19" width="23" bestFit="1" customWidth="1"/>
  </cols>
  <sheetData>
    <row r="1" spans="1:22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42</v>
      </c>
      <c r="L1" s="5" t="s">
        <v>43</v>
      </c>
      <c r="M1" s="5" t="s">
        <v>44</v>
      </c>
      <c r="N1" s="5" t="s">
        <v>45</v>
      </c>
      <c r="O1" s="5" t="s">
        <v>46</v>
      </c>
      <c r="P1" s="5" t="s">
        <v>47</v>
      </c>
      <c r="Q1" s="5" t="s">
        <v>48</v>
      </c>
      <c r="R1" s="5" t="s">
        <v>49</v>
      </c>
      <c r="S1" s="5" t="s">
        <v>50</v>
      </c>
      <c r="T1" s="5" t="s">
        <v>51</v>
      </c>
      <c r="U1" s="5" t="s">
        <v>52</v>
      </c>
      <c r="V1" s="5" t="s">
        <v>53</v>
      </c>
    </row>
    <row r="2" spans="1:22" x14ac:dyDescent="0.35">
      <c r="A2" s="2" t="s">
        <v>10</v>
      </c>
      <c r="B2" s="2" t="s">
        <v>11</v>
      </c>
      <c r="C2" s="2" t="s">
        <v>12</v>
      </c>
      <c r="D2" s="3">
        <v>44270</v>
      </c>
      <c r="E2" s="3">
        <v>46244</v>
      </c>
      <c r="F2" s="4">
        <v>8500000</v>
      </c>
      <c r="G2" s="4">
        <v>1250000</v>
      </c>
      <c r="H2" s="4">
        <v>5</v>
      </c>
      <c r="I2" s="2" t="s">
        <v>13</v>
      </c>
      <c r="J2" s="2" t="s">
        <v>14</v>
      </c>
      <c r="K2" s="6" t="str">
        <f>TRIM(B2)</f>
        <v>Samuel Tambunan</v>
      </c>
      <c r="L2" s="6" t="str">
        <f>UPPER(LEFT(K2,1) &amp; RIGHT(K2,3))</f>
        <v>SNAN</v>
      </c>
      <c r="M2" s="6" t="str">
        <f>MID(TEXT(D2, "dd/mm/yyyy"), 7, 4)</f>
        <v>2021</v>
      </c>
      <c r="N2" s="6" t="str">
        <f>_xlfn.CONCAT(A2, " - ", C2, " - ", M2 )</f>
        <v>EMP001 - BDG-JBR-01 - 2021</v>
      </c>
      <c r="O2" s="6" t="str">
        <f>DATEDIF(D2, DATE(2026, 8, 24), "Y") &amp; " Tahun " &amp; DATEDIF(D2, DATE(2026, 8, 24), "YM") &amp; " Bulan"</f>
        <v>5 Tahun 5 Bulan</v>
      </c>
      <c r="P2" s="8">
        <f>EDATE(E2,3)</f>
        <v>46336</v>
      </c>
      <c r="Q2" s="6" t="str">
        <f>NETWORKDAYS(E2, DATE(2026,8,24)) &amp; " hari"</f>
        <v>11 hari</v>
      </c>
      <c r="R2" s="6">
        <f>IFERROR(G2/H2, 0)</f>
        <v>250000</v>
      </c>
      <c r="S2" s="9">
        <f>G2/F2</f>
        <v>0.14705882352941177</v>
      </c>
      <c r="T2" s="6" t="str" cm="1">
        <f t="array" ref="T2">_xlfn.IFS(S2&lt;=10%, "Rendah", S2&lt;=20%, "Sedang", S2&lt;=30%, "Tinggi", TRUE, "Sangat Tinggi")</f>
        <v>Sedang</v>
      </c>
      <c r="U2" s="6" t="str">
        <f>IF(OR(I2="Baik", S2&lt;=20%, H2&lt;=5), "Layak Disetujui", IF(AND(I2="Kurang", S2&gt;20%, H2&gt;5), "Perlu Review", "Tidak Layak"))</f>
        <v>Layak Disetujui</v>
      </c>
      <c r="V2" s="6" t="str">
        <f>IF(AND(U2="Layak Disetujui", O2&gt;=3), "Rp500.000", "Rp0")</f>
        <v>Rp500.000</v>
      </c>
    </row>
    <row r="3" spans="1:22" x14ac:dyDescent="0.35">
      <c r="A3" s="2" t="s">
        <v>15</v>
      </c>
      <c r="B3" s="2" t="s">
        <v>16</v>
      </c>
      <c r="C3" s="2" t="s">
        <v>17</v>
      </c>
      <c r="D3" s="3">
        <v>45493</v>
      </c>
      <c r="E3" s="3">
        <v>46252</v>
      </c>
      <c r="F3" s="4">
        <v>7200000</v>
      </c>
      <c r="G3" s="4">
        <v>900000</v>
      </c>
      <c r="H3" s="4">
        <v>3</v>
      </c>
      <c r="I3" s="2" t="s">
        <v>13</v>
      </c>
      <c r="J3" s="2" t="s">
        <v>18</v>
      </c>
      <c r="K3" s="6" t="str">
        <f t="shared" ref="K3:K11" si="0">TRIM(B3)</f>
        <v>Andi Pratama</v>
      </c>
      <c r="L3" s="6" t="str">
        <f t="shared" ref="L3:L11" si="1">UPPER(LEFT(K3,1) &amp; RIGHT(K3,3))</f>
        <v>AAMA</v>
      </c>
      <c r="M3" s="6" t="str">
        <f t="shared" ref="M3:M11" si="2">MID(TEXT(D3, "dd/mm/yyyy"), 7, 4)</f>
        <v>2024</v>
      </c>
      <c r="N3" s="6" t="str">
        <f t="shared" ref="N3:N11" si="3">_xlfn.CONCAT(A3, " - ", C3, " - ", M3 )</f>
        <v>EMP002 - JKT-DKI-02 - 2024</v>
      </c>
      <c r="O3" s="6" t="str">
        <f t="shared" ref="O3:O11" si="4">DATEDIF(D3, DATE(2026, 8, 24), "Y") &amp; " Tahun " &amp; DATEDIF(D3, DATE(2026, 8, 24), "YM") &amp; " Bulan"</f>
        <v>2 Tahun 1 Bulan</v>
      </c>
      <c r="P3" s="8">
        <f t="shared" ref="P3:P11" si="5">EDATE(E3,3)</f>
        <v>46344</v>
      </c>
      <c r="Q3" s="6" t="str">
        <f t="shared" ref="Q3:Q11" si="6">NETWORKDAYS(E3, DATE(2026,8,24)) &amp; " hari"</f>
        <v>5 hari</v>
      </c>
      <c r="R3" s="6">
        <f t="shared" ref="R3:R11" si="7">IFERROR(G3/H3, 0)</f>
        <v>300000</v>
      </c>
      <c r="S3" s="9">
        <f t="shared" ref="S3:S11" si="8">G3/F3</f>
        <v>0.125</v>
      </c>
      <c r="T3" s="6" t="str" cm="1">
        <f t="array" ref="T3">_xlfn.IFS(S3&lt;=10%, "Rendah", S3&lt;=20%, "Sedang", S3&lt;=30%, "Tinggi", TRUE, "Sangat Tinggi")</f>
        <v>Sedang</v>
      </c>
      <c r="U3" s="6" t="str">
        <f t="shared" ref="U3:U11" si="9">IF(OR(I3="Baik", S3&lt;=20%, H3&lt;=5), "Layak Disetujui", IF(AND(I3="Kurang", S3&gt;20%, H3&gt;5), "Perlu Review", "Tidak Layak"))</f>
        <v>Layak Disetujui</v>
      </c>
      <c r="V3" s="6" t="str">
        <f t="shared" ref="V3:V11" si="10">IF(AND(U3="Layak Disetujui", O3&gt;=3), "Rp500.000", "Rp0")</f>
        <v>Rp500.000</v>
      </c>
    </row>
    <row r="4" spans="1:22" x14ac:dyDescent="0.35">
      <c r="A4" s="2" t="s">
        <v>19</v>
      </c>
      <c r="B4" s="2" t="s">
        <v>20</v>
      </c>
      <c r="C4" s="2" t="s">
        <v>21</v>
      </c>
      <c r="D4" s="3">
        <v>44937</v>
      </c>
      <c r="E4" s="3">
        <v>46239</v>
      </c>
      <c r="F4" s="4">
        <v>6800000</v>
      </c>
      <c r="G4" s="4">
        <v>1500000</v>
      </c>
      <c r="H4" s="4">
        <v>7</v>
      </c>
      <c r="I4" s="2" t="s">
        <v>22</v>
      </c>
      <c r="J4" s="2" t="s">
        <v>23</v>
      </c>
      <c r="K4" s="6" t="str">
        <f t="shared" si="0"/>
        <v>Sinta Maharani</v>
      </c>
      <c r="L4" s="6" t="str">
        <f t="shared" si="1"/>
        <v>SANI</v>
      </c>
      <c r="M4" s="6" t="str">
        <f t="shared" si="2"/>
        <v>2023</v>
      </c>
      <c r="N4" s="6" t="str">
        <f t="shared" si="3"/>
        <v>EMP003 - SBY-JTM-01 - 2023</v>
      </c>
      <c r="O4" s="6" t="str">
        <f t="shared" si="4"/>
        <v>3 Tahun 7 Bulan</v>
      </c>
      <c r="P4" s="8">
        <f t="shared" si="5"/>
        <v>46331</v>
      </c>
      <c r="Q4" s="6" t="str">
        <f t="shared" si="6"/>
        <v>14 hari</v>
      </c>
      <c r="R4" s="6">
        <f t="shared" si="7"/>
        <v>214285.71428571429</v>
      </c>
      <c r="S4" s="9">
        <f t="shared" si="8"/>
        <v>0.22058823529411764</v>
      </c>
      <c r="T4" s="6" t="str" cm="1">
        <f t="array" ref="T4">_xlfn.IFS(S4&lt;=10%, "Rendah", S4&lt;=20%, "Sedang", S4&lt;=30%, "Tinggi", TRUE, "Sangat Tinggi")</f>
        <v>Tinggi</v>
      </c>
      <c r="U4" s="6" t="str">
        <f t="shared" si="9"/>
        <v>Perlu Review</v>
      </c>
      <c r="V4" s="6" t="str">
        <f t="shared" si="10"/>
        <v>Rp0</v>
      </c>
    </row>
    <row r="5" spans="1:22" x14ac:dyDescent="0.35">
      <c r="A5" s="2" t="s">
        <v>24</v>
      </c>
      <c r="B5" s="2" t="s">
        <v>25</v>
      </c>
      <c r="C5" s="2" t="s">
        <v>26</v>
      </c>
      <c r="D5" s="3">
        <v>44166</v>
      </c>
      <c r="E5" s="3">
        <v>46249</v>
      </c>
      <c r="F5" s="4">
        <v>12500000</v>
      </c>
      <c r="G5" s="4">
        <v>2750000</v>
      </c>
      <c r="H5" s="4">
        <v>9</v>
      </c>
      <c r="I5" s="2" t="s">
        <v>13</v>
      </c>
      <c r="J5" s="2" t="s">
        <v>27</v>
      </c>
      <c r="K5" s="6" t="str">
        <f t="shared" si="0"/>
        <v>Budi Santoso</v>
      </c>
      <c r="L5" s="6" t="str">
        <f t="shared" si="1"/>
        <v>BOSO</v>
      </c>
      <c r="M5" s="6" t="str">
        <f t="shared" si="2"/>
        <v>2020</v>
      </c>
      <c r="N5" s="6" t="str">
        <f t="shared" si="3"/>
        <v>EMP004 - BDO-JBR-02 - 2020</v>
      </c>
      <c r="O5" s="6" t="str">
        <f t="shared" si="4"/>
        <v>5 Tahun 8 Bulan</v>
      </c>
      <c r="P5" s="8">
        <f t="shared" si="5"/>
        <v>46341</v>
      </c>
      <c r="Q5" s="6" t="str">
        <f t="shared" si="6"/>
        <v>6 hari</v>
      </c>
      <c r="R5" s="6">
        <f t="shared" si="7"/>
        <v>305555.55555555556</v>
      </c>
      <c r="S5" s="9">
        <f t="shared" si="8"/>
        <v>0.22</v>
      </c>
      <c r="T5" s="6" t="str" cm="1">
        <f t="array" ref="T5">_xlfn.IFS(S5&lt;=10%, "Rendah", S5&lt;=20%, "Sedang", S5&lt;=30%, "Tinggi", TRUE, "Sangat Tinggi")</f>
        <v>Tinggi</v>
      </c>
      <c r="U5" s="6" t="str">
        <f t="shared" si="9"/>
        <v>Layak Disetujui</v>
      </c>
      <c r="V5" s="6" t="str">
        <f t="shared" si="10"/>
        <v>Rp500.000</v>
      </c>
    </row>
    <row r="6" spans="1:22" x14ac:dyDescent="0.35">
      <c r="A6" s="2" t="s">
        <v>28</v>
      </c>
      <c r="B6" s="2" t="s">
        <v>29</v>
      </c>
      <c r="C6" s="2" t="s">
        <v>30</v>
      </c>
      <c r="D6" s="3">
        <v>45817</v>
      </c>
      <c r="E6" s="3">
        <v>46254</v>
      </c>
      <c r="F6" s="4">
        <v>5900000</v>
      </c>
      <c r="G6" s="4">
        <v>450000</v>
      </c>
      <c r="H6" s="4">
        <v>2</v>
      </c>
      <c r="I6" s="2" t="s">
        <v>13</v>
      </c>
      <c r="J6" s="2" t="s">
        <v>18</v>
      </c>
      <c r="K6" s="6" t="str">
        <f t="shared" si="0"/>
        <v>Rina Amelia</v>
      </c>
      <c r="L6" s="6" t="str">
        <f t="shared" si="1"/>
        <v>RLIA</v>
      </c>
      <c r="M6" s="6" t="str">
        <f t="shared" si="2"/>
        <v>2025</v>
      </c>
      <c r="N6" s="6" t="str">
        <f t="shared" si="3"/>
        <v>EMP005 - TGR-BTN-03 - 2025</v>
      </c>
      <c r="O6" s="6" t="str">
        <f t="shared" si="4"/>
        <v>1 Tahun 2 Bulan</v>
      </c>
      <c r="P6" s="8">
        <f t="shared" si="5"/>
        <v>46346</v>
      </c>
      <c r="Q6" s="6" t="str">
        <f t="shared" si="6"/>
        <v>3 hari</v>
      </c>
      <c r="R6" s="6">
        <f t="shared" si="7"/>
        <v>225000</v>
      </c>
      <c r="S6" s="9">
        <f t="shared" si="8"/>
        <v>7.6271186440677971E-2</v>
      </c>
      <c r="T6" s="6" t="str" cm="1">
        <f t="array" ref="T6">_xlfn.IFS(S6&lt;=10%, "Rendah", S6&lt;=20%, "Sedang", S6&lt;=30%, "Tinggi", TRUE, "Sangat Tinggi")</f>
        <v>Rendah</v>
      </c>
      <c r="U6" s="6" t="str">
        <f t="shared" si="9"/>
        <v>Layak Disetujui</v>
      </c>
      <c r="V6" s="6" t="str">
        <f t="shared" si="10"/>
        <v>Rp500.000</v>
      </c>
    </row>
    <row r="7" spans="1:22" x14ac:dyDescent="0.35">
      <c r="A7" s="2" t="s">
        <v>31</v>
      </c>
      <c r="B7" s="2" t="s">
        <v>32</v>
      </c>
      <c r="C7" s="2" t="s">
        <v>17</v>
      </c>
      <c r="D7" s="3">
        <v>44605</v>
      </c>
      <c r="E7" s="3">
        <v>46255</v>
      </c>
      <c r="F7" s="4">
        <v>9100000</v>
      </c>
      <c r="G7" s="4">
        <v>2100000</v>
      </c>
      <c r="H7" s="4">
        <v>8</v>
      </c>
      <c r="I7" s="2" t="s">
        <v>22</v>
      </c>
      <c r="J7" s="2" t="s">
        <v>23</v>
      </c>
      <c r="K7" s="6" t="str">
        <f t="shared" si="0"/>
        <v>Fajar Nugroho</v>
      </c>
      <c r="L7" s="6" t="str">
        <f t="shared" si="1"/>
        <v>FOHO</v>
      </c>
      <c r="M7" s="6" t="str">
        <f t="shared" si="2"/>
        <v>2022</v>
      </c>
      <c r="N7" s="6" t="str">
        <f t="shared" si="3"/>
        <v>EMP006 - JKT-DKI-02 - 2022</v>
      </c>
      <c r="O7" s="6" t="str">
        <f t="shared" si="4"/>
        <v>4 Tahun 6 Bulan</v>
      </c>
      <c r="P7" s="8">
        <f t="shared" si="5"/>
        <v>46347</v>
      </c>
      <c r="Q7" s="6" t="str">
        <f t="shared" si="6"/>
        <v>2 hari</v>
      </c>
      <c r="R7" s="6">
        <f t="shared" si="7"/>
        <v>262500</v>
      </c>
      <c r="S7" s="9">
        <f t="shared" si="8"/>
        <v>0.23076923076923078</v>
      </c>
      <c r="T7" s="6" t="str" cm="1">
        <f t="array" ref="T7">_xlfn.IFS(S7&lt;=10%, "Rendah", S7&lt;=20%, "Sedang", S7&lt;=30%, "Tinggi", TRUE, "Sangat Tinggi")</f>
        <v>Tinggi</v>
      </c>
      <c r="U7" s="6" t="str">
        <f t="shared" si="9"/>
        <v>Perlu Review</v>
      </c>
      <c r="V7" s="6" t="str">
        <f t="shared" si="10"/>
        <v>Rp0</v>
      </c>
    </row>
    <row r="8" spans="1:22" x14ac:dyDescent="0.35">
      <c r="A8" s="2" t="s">
        <v>33</v>
      </c>
      <c r="B8" s="2" t="s">
        <v>34</v>
      </c>
      <c r="C8" s="2" t="s">
        <v>12</v>
      </c>
      <c r="D8" s="3">
        <v>45224</v>
      </c>
      <c r="E8" s="3">
        <v>46246</v>
      </c>
      <c r="F8" s="4">
        <v>7500000</v>
      </c>
      <c r="G8" s="4">
        <v>800000</v>
      </c>
      <c r="H8" s="4">
        <v>4</v>
      </c>
      <c r="I8" s="2" t="s">
        <v>13</v>
      </c>
      <c r="J8" s="2" t="s">
        <v>35</v>
      </c>
      <c r="K8" s="6" t="str">
        <f t="shared" si="0"/>
        <v>Dinda Lestari</v>
      </c>
      <c r="L8" s="6" t="str">
        <f t="shared" si="1"/>
        <v>DARI</v>
      </c>
      <c r="M8" s="6" t="str">
        <f t="shared" si="2"/>
        <v>2023</v>
      </c>
      <c r="N8" s="6" t="str">
        <f t="shared" si="3"/>
        <v>EMP007 - BDG-JBR-01 - 2023</v>
      </c>
      <c r="O8" s="6" t="str">
        <f t="shared" si="4"/>
        <v>2 Tahun 9 Bulan</v>
      </c>
      <c r="P8" s="8">
        <f t="shared" si="5"/>
        <v>46338</v>
      </c>
      <c r="Q8" s="6" t="str">
        <f t="shared" si="6"/>
        <v>9 hari</v>
      </c>
      <c r="R8" s="6">
        <f t="shared" si="7"/>
        <v>200000</v>
      </c>
      <c r="S8" s="9">
        <f t="shared" si="8"/>
        <v>0.10666666666666667</v>
      </c>
      <c r="T8" s="6" t="str" cm="1">
        <f t="array" ref="T8">_xlfn.IFS(S8&lt;=10%, "Rendah", S8&lt;=20%, "Sedang", S8&lt;=30%, "Tinggi", TRUE, "Sangat Tinggi")</f>
        <v>Sedang</v>
      </c>
      <c r="U8" s="6" t="str">
        <f t="shared" si="9"/>
        <v>Layak Disetujui</v>
      </c>
      <c r="V8" s="6" t="str">
        <f t="shared" si="10"/>
        <v>Rp500.000</v>
      </c>
    </row>
    <row r="9" spans="1:22" x14ac:dyDescent="0.35">
      <c r="A9" s="2" t="s">
        <v>36</v>
      </c>
      <c r="B9" s="2" t="s">
        <v>37</v>
      </c>
      <c r="C9" s="2" t="s">
        <v>21</v>
      </c>
      <c r="D9" s="3">
        <v>44303</v>
      </c>
      <c r="E9" s="3">
        <v>46256</v>
      </c>
      <c r="F9" s="4">
        <v>8300000</v>
      </c>
      <c r="G9" s="4">
        <v>1800000</v>
      </c>
      <c r="H9" s="4">
        <v>6</v>
      </c>
      <c r="I9" s="2" t="s">
        <v>13</v>
      </c>
      <c r="J9" s="2" t="s">
        <v>18</v>
      </c>
      <c r="K9" s="6" t="str">
        <f t="shared" si="0"/>
        <v>Kevin Wijaya</v>
      </c>
      <c r="L9" s="6" t="str">
        <f t="shared" si="1"/>
        <v>KAYA</v>
      </c>
      <c r="M9" s="6" t="str">
        <f t="shared" si="2"/>
        <v>2021</v>
      </c>
      <c r="N9" s="6" t="str">
        <f t="shared" si="3"/>
        <v>EMP008 - SBY-JTM-01 - 2021</v>
      </c>
      <c r="O9" s="6" t="str">
        <f t="shared" si="4"/>
        <v>5 Tahun 4 Bulan</v>
      </c>
      <c r="P9" s="8">
        <f t="shared" si="5"/>
        <v>46348</v>
      </c>
      <c r="Q9" s="6" t="str">
        <f t="shared" si="6"/>
        <v>1 hari</v>
      </c>
      <c r="R9" s="6">
        <f t="shared" si="7"/>
        <v>300000</v>
      </c>
      <c r="S9" s="9">
        <f t="shared" si="8"/>
        <v>0.21686746987951808</v>
      </c>
      <c r="T9" s="6" t="str" cm="1">
        <f t="array" ref="T9">_xlfn.IFS(S9&lt;=10%, "Rendah", S9&lt;=20%, "Sedang", S9&lt;=30%, "Tinggi", TRUE, "Sangat Tinggi")</f>
        <v>Tinggi</v>
      </c>
      <c r="U9" s="6" t="str">
        <f t="shared" si="9"/>
        <v>Layak Disetujui</v>
      </c>
      <c r="V9" s="6" t="str">
        <f t="shared" si="10"/>
        <v>Rp500.000</v>
      </c>
    </row>
    <row r="10" spans="1:22" x14ac:dyDescent="0.35">
      <c r="A10" s="2" t="s">
        <v>38</v>
      </c>
      <c r="B10" s="2" t="s">
        <v>39</v>
      </c>
      <c r="C10" s="2" t="s">
        <v>30</v>
      </c>
      <c r="D10" s="3">
        <v>44781</v>
      </c>
      <c r="E10" s="3">
        <v>46250</v>
      </c>
      <c r="F10" s="4">
        <v>6400000</v>
      </c>
      <c r="G10" s="4">
        <v>1200000</v>
      </c>
      <c r="H10" s="4">
        <v>5</v>
      </c>
      <c r="I10" s="2" t="s">
        <v>22</v>
      </c>
      <c r="J10" s="2" t="s">
        <v>18</v>
      </c>
      <c r="K10" s="6" t="str">
        <f t="shared" si="0"/>
        <v>Putri Ananda</v>
      </c>
      <c r="L10" s="6" t="str">
        <f t="shared" si="1"/>
        <v>PNDA</v>
      </c>
      <c r="M10" s="6" t="str">
        <f t="shared" si="2"/>
        <v>2022</v>
      </c>
      <c r="N10" s="6" t="str">
        <f t="shared" si="3"/>
        <v>EMP009 - TGR-BTN-03 - 2022</v>
      </c>
      <c r="O10" s="6" t="str">
        <f t="shared" si="4"/>
        <v>4 Tahun 0 Bulan</v>
      </c>
      <c r="P10" s="8">
        <f t="shared" si="5"/>
        <v>46342</v>
      </c>
      <c r="Q10" s="6" t="str">
        <f t="shared" si="6"/>
        <v>6 hari</v>
      </c>
      <c r="R10" s="6">
        <f t="shared" si="7"/>
        <v>240000</v>
      </c>
      <c r="S10" s="9">
        <f t="shared" si="8"/>
        <v>0.1875</v>
      </c>
      <c r="T10" s="6" t="str" cm="1">
        <f t="array" ref="T10">_xlfn.IFS(S10&lt;=10%, "Rendah", S10&lt;=20%, "Sedang", S10&lt;=30%, "Tinggi", TRUE, "Sangat Tinggi")</f>
        <v>Sedang</v>
      </c>
      <c r="U10" s="6" t="str">
        <f t="shared" si="9"/>
        <v>Layak Disetujui</v>
      </c>
      <c r="V10" s="6" t="str">
        <f t="shared" si="10"/>
        <v>Rp500.000</v>
      </c>
    </row>
    <row r="11" spans="1:22" x14ac:dyDescent="0.35">
      <c r="A11" s="2" t="s">
        <v>40</v>
      </c>
      <c r="B11" s="2" t="s">
        <v>41</v>
      </c>
      <c r="C11" s="2" t="s">
        <v>17</v>
      </c>
      <c r="D11" s="3">
        <v>45991</v>
      </c>
      <c r="E11" s="3">
        <v>46257</v>
      </c>
      <c r="F11" s="4">
        <v>5600000</v>
      </c>
      <c r="G11" s="4">
        <v>350000</v>
      </c>
      <c r="H11" s="4">
        <v>1</v>
      </c>
      <c r="I11" s="2" t="s">
        <v>13</v>
      </c>
      <c r="J11" s="2" t="s">
        <v>35</v>
      </c>
      <c r="K11" s="6" t="str">
        <f t="shared" si="0"/>
        <v>Yoga Saputra</v>
      </c>
      <c r="L11" s="6" t="str">
        <f t="shared" si="1"/>
        <v>YTRA</v>
      </c>
      <c r="M11" s="6" t="str">
        <f t="shared" si="2"/>
        <v>2025</v>
      </c>
      <c r="N11" s="6" t="str">
        <f t="shared" si="3"/>
        <v>EMP010 - JKT-DKI-02 - 2025</v>
      </c>
      <c r="O11" s="6" t="str">
        <f t="shared" si="4"/>
        <v>0 Tahun 8 Bulan</v>
      </c>
      <c r="P11" s="8">
        <f t="shared" si="5"/>
        <v>46349</v>
      </c>
      <c r="Q11" s="6" t="str">
        <f t="shared" si="6"/>
        <v>1 hari</v>
      </c>
      <c r="R11" s="6">
        <f t="shared" si="7"/>
        <v>350000</v>
      </c>
      <c r="S11" s="9">
        <f t="shared" si="8"/>
        <v>6.25E-2</v>
      </c>
      <c r="T11" s="6" t="str" cm="1">
        <f t="array" ref="T11">_xlfn.IFS(S11&lt;=10%, "Rendah", S11&lt;=20%, "Sedang", S11&lt;=30%, "Tinggi", TRUE, "Sangat Tinggi")</f>
        <v>Rendah</v>
      </c>
      <c r="U11" s="6" t="str">
        <f t="shared" si="9"/>
        <v>Layak Disetujui</v>
      </c>
      <c r="V11" s="6" t="str">
        <f t="shared" si="10"/>
        <v>Rp500.000</v>
      </c>
    </row>
    <row r="13" spans="1:22" x14ac:dyDescent="0.35">
      <c r="A13" s="6" t="s">
        <v>54</v>
      </c>
      <c r="B13" s="7">
        <f>SUM(G2:G11)</f>
        <v>13100000</v>
      </c>
    </row>
    <row r="14" spans="1:22" x14ac:dyDescent="0.35">
      <c r="A14" s="6" t="s">
        <v>55</v>
      </c>
      <c r="B14" s="7">
        <f>AVERAGE(F2:F11)</f>
        <v>7780000</v>
      </c>
    </row>
    <row r="15" spans="1:22" x14ac:dyDescent="0.35">
      <c r="A15" s="6" t="s">
        <v>56</v>
      </c>
      <c r="B15" s="6" t="str">
        <f>COUNT(F2:F11) &amp; " Karyawan"</f>
        <v>10 Karyawan</v>
      </c>
    </row>
    <row r="16" spans="1:22" x14ac:dyDescent="0.35">
      <c r="A16" s="6" t="s">
        <v>57</v>
      </c>
      <c r="B16" s="6">
        <f>COUNTIF(T2:T11, "Tinggi")</f>
        <v>4</v>
      </c>
    </row>
    <row r="17" spans="1:2" x14ac:dyDescent="0.35">
      <c r="A17" s="6" t="s">
        <v>58</v>
      </c>
      <c r="B17" s="7">
        <f>SUMIF(C2:C11, "JKT-DKI-02", G2:G11)</f>
        <v>3350000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Tambunan</dc:creator>
  <cp:lastModifiedBy>Samuel Tambunan</cp:lastModifiedBy>
  <dcterms:created xsi:type="dcterms:W3CDTF">2026-08-25T03:33:29Z</dcterms:created>
  <dcterms:modified xsi:type="dcterms:W3CDTF">2026-08-25T06:59:40Z</dcterms:modified>
</cp:coreProperties>
</file>